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Summary" sheetId="1" r:id="rId5"/>
    <sheet state="visible" name="EDA" sheetId="2" r:id="rId6"/>
    <sheet state="visible" name="Model Results" sheetId="3" r:id="rId7"/>
    <sheet state="visible" name="Feature Ablation" sheetId="4" r:id="rId8"/>
    <sheet state="visible" name="Statistical Analysis" sheetId="5" r:id="rId9"/>
    <sheet state="visible" name="Error Analysis" sheetId="6" r:id="rId10"/>
    <sheet state="visible" name="Preprocessing" sheetId="7" r:id="rId11"/>
    <sheet state="visible" name="Feature Engineering" sheetId="8" r:id="rId12"/>
    <sheet state="visible" name="Final Figures Tables" sheetId="9" r:id="rId13"/>
    <sheet state="visible" name="Pipeline" sheetId="10" r:id="rId14"/>
  </sheets>
  <definedNames/>
  <calcPr/>
</workbook>
</file>

<file path=xl/sharedStrings.xml><?xml version="1.0" encoding="utf-8"?>
<sst xmlns="http://schemas.openxmlformats.org/spreadsheetml/2006/main" count="1949" uniqueCount="747">
  <si>
    <t>Result ID</t>
  </si>
  <si>
    <t>Item</t>
  </si>
  <si>
    <t>Value</t>
  </si>
  <si>
    <t>Notes</t>
  </si>
  <si>
    <t>Dataset</t>
  </si>
  <si>
    <t>House Prices - Advanced Regression Techniques</t>
  </si>
  <si>
    <t>Ames Housing</t>
  </si>
  <si>
    <t>Data Source</t>
  </si>
  <si>
    <t>Kaggle</t>
  </si>
  <si>
    <t>Ames City Assessor's Office</t>
  </si>
  <si>
    <t>Analysis / Figure</t>
  </si>
  <si>
    <t>Original Samples</t>
  </si>
  <si>
    <t>Main Finding</t>
  </si>
  <si>
    <t>原始 train.csv</t>
  </si>
  <si>
    <t>Value / Evidence</t>
  </si>
  <si>
    <t>Source</t>
  </si>
  <si>
    <t>Status</t>
  </si>
  <si>
    <t>EDA-01</t>
  </si>
  <si>
    <t>Original Columns</t>
  </si>
  <si>
    <t>含 SalePrice</t>
  </si>
  <si>
    <t>Training Samples</t>
  </si>
  <si>
    <t>原本 1168，刪除 2 筆 outliers</t>
  </si>
  <si>
    <t>Final Test Samples</t>
  </si>
  <si>
    <t>封存，只最後評估一次</t>
  </si>
  <si>
    <t>P1 Model-ready Features</t>
  </si>
  <si>
    <t>P1 處理後為 213 個 features；Final Model 加入 QualityArea 後為 214 個 encoded predictors。CV 各 fold 因 one-hot 類別不同，平均約 209.8 個。</t>
  </si>
  <si>
    <t>CV Protocol</t>
  </si>
  <si>
    <t>5-fold KFold</t>
  </si>
  <si>
    <t>shuffle=True, random_state=42；全模型使用相同 folds</t>
  </si>
  <si>
    <t>CV Fold Sizes</t>
  </si>
  <si>
    <t>233 / 234 / 234 / 232 / 233</t>
  </si>
  <si>
    <t>Target Distribution</t>
  </si>
  <si>
    <t>右偏target經log1p後較對稱；原始skewness=1.74，右欄為log後偏態。沿用P1記錄，未重算。</t>
  </si>
  <si>
    <t>Removed Outliers</t>
  </si>
  <si>
    <t>Id 524、1299</t>
  </si>
  <si>
    <t>Target</t>
  </si>
  <si>
    <t>Model</t>
  </si>
  <si>
    <t>P1：Preprocessing!C13</t>
  </si>
  <si>
    <t>Confirmed</t>
  </si>
  <si>
    <t>Feature Set</t>
  </si>
  <si>
    <t>EDA-02</t>
  </si>
  <si>
    <t>Feature-Target Correlation</t>
  </si>
  <si>
    <t>OverallQual與log1p價格的Pearson r高；品質、區位、面積亦居MI前列。</t>
  </si>
  <si>
    <t>CV MAE Mean</t>
  </si>
  <si>
    <t>P2：feature_ranking.csv</t>
  </si>
  <si>
    <t>CV MAE Std</t>
  </si>
  <si>
    <t>EDA-03</t>
  </si>
  <si>
    <t>Pearson Correlation</t>
  </si>
  <si>
    <t>CV RMSE Mean</t>
  </si>
  <si>
    <t>QualityArea對log1p價格的Pearson r；是H1動機，不是因果或模型改善的證明。</t>
  </si>
  <si>
    <t>CV RMSE Std</t>
  </si>
  <si>
    <t>P2：candidate_feature_correlations.csv</t>
  </si>
  <si>
    <t>CV R² Mean</t>
  </si>
  <si>
    <t>EDA-04</t>
  </si>
  <si>
    <t>Spearman Correlation</t>
  </si>
  <si>
    <t>CV R² Std</t>
  </si>
  <si>
    <t>QualityArea的Spearman rho；LotArea與LogLotArea的rho皆0.464376，單調轉換保持排名。</t>
  </si>
  <si>
    <t>Best Hyperparameters</t>
  </si>
  <si>
    <t>EDA-05</t>
  </si>
  <si>
    <t>Mutual Information</t>
  </si>
  <si>
    <t>MI第1 OverallQual；第2 Neighborhood=0.4954430、第3 GrLivArea=0.4508081 nats；右欄為第1名。</t>
  </si>
  <si>
    <t>P2：feature_ranking.csv；01_feature_ranking.png</t>
  </si>
  <si>
    <t>EDA-06</t>
  </si>
  <si>
    <t>Feature Correlation / Redundancy</t>
  </si>
  <si>
    <t>MOD-01</t>
  </si>
  <si>
    <t>32 numeric欄有3組|r|&gt;0.8：GarageCars/Area=.889；GrLivArea/Rooms=.826；Basement/1st floor=.808。</t>
  </si>
  <si>
    <t>Mean Baseline</t>
  </si>
  <si>
    <t>Intercept only</t>
  </si>
  <si>
    <t>SalePrice</t>
  </si>
  <si>
    <t>P2：high_correlation_feature_pairs.csv</t>
  </si>
  <si>
    <t>EDA-07</t>
  </si>
  <si>
    <t>Key Scatter Plot</t>
  </si>
  <si>
    <t>主文採QualityArea散點圖（n=1166）；LotArea/log與TotalSF放補充。右欄為TotalSF對log1p價格的Pearson r。</t>
  </si>
  <si>
    <t>P2：figures/03_quality_area.png；05_total_sf.png</t>
  </si>
  <si>
    <t>Feature ablation and hypothesis results</t>
  </si>
  <si>
    <t>EDA-08</t>
  </si>
  <si>
    <t>Hypothesis H1</t>
  </si>
  <si>
    <t>Raw新增QualityArea，保留main effects；固定Ridge alpha10的RMSE下降5.71%，5/5折改善。右欄為ΔRMSE USD。</t>
  </si>
  <si>
    <t>已採log1p；expm1還原USD後評估。</t>
  </si>
  <si>
    <t>P2假設；P3 hypothesis_results.csv H1</t>
  </si>
  <si>
    <t>Completed (exploratory)</t>
  </si>
  <si>
    <t>EDA-09</t>
  </si>
  <si>
    <t>Hypothesis H2</t>
  </si>
  <si>
    <t>log1p替換未轉換LotArea：RMSE下降1.11%；相對A_Raw Box-Cox僅下降1.62 USD。右欄用未轉換對照。</t>
  </si>
  <si>
    <t>P3 hypothesis_results.csv H2／H2_vs_P1_BoxCox</t>
  </si>
  <si>
    <t>{}</t>
  </si>
  <si>
    <t>EDA-10</t>
  </si>
  <si>
    <t>Hypothesis H3</t>
  </si>
  <si>
    <t>../model/results/tables/model_evaluation/cv_model_comparison.csv</t>
  </si>
  <si>
    <t>Missing Value Handling</t>
  </si>
  <si>
    <t>TotalSF替換3面積分項；每折降維且RMSE下降1.10%，符合≤2%增幅工程規則。右欄為ΔRMSE USD。</t>
  </si>
  <si>
    <t>Median / Mode / Rule-based</t>
  </si>
  <si>
    <t>P3 hypothesis_results.csv H3</t>
  </si>
  <si>
    <t>Trivial baseline；CV誤差單位USD</t>
  </si>
  <si>
    <t>詳見 P1 preprocessing</t>
  </si>
  <si>
    <t>MOD-02</t>
  </si>
  <si>
    <t>Ordinal Features</t>
  </si>
  <si>
    <t>Target=log1p(SalePrice)，training n=1166。數值欄的尺度與意義依Main Finding；EDA關聯不作確認性推論。</t>
  </si>
  <si>
    <t>Single-feature OLS</t>
  </si>
  <si>
    <t>Δ=treatment−control；primary=固定Ridge alpha=10；所有 confirmatory claims=False</t>
  </si>
  <si>
    <t>手動 ordinal encoding</t>
  </si>
  <si>
    <t>GrLivArea</t>
  </si>
  <si>
    <t>Nominal Features</t>
  </si>
  <si>
    <t>P2表格：../EDA/tables/；原圖：repo EDA/figures/；P3：../model/results/tables/feature_ablation/。</t>
  </si>
  <si>
    <t>One-hot encoding</t>
  </si>
  <si>
    <t>P2 readable為全training補值；正式P3 CV另從raw training各折fit。完整排名與原圖保留於交付包。</t>
  </si>
  <si>
    <t>Skewed Numeric Features</t>
  </si>
  <si>
    <t>Simple linear baseline；raw target較佳</t>
  </si>
  <si>
    <t>Box-Cox</t>
  </si>
  <si>
    <t>MOD-03</t>
  </si>
  <si>
    <t>Scaled Numeric Features</t>
  </si>
  <si>
    <t>OLS</t>
  </si>
  <si>
    <t>A_Raw</t>
  </si>
  <si>
    <t>RobustScaler</t>
  </si>
  <si>
    <t>log1p(SalePrice)</t>
  </si>
  <si>
    <t>Final Test Usage</t>
  </si>
  <si>
    <t>Once only</t>
  </si>
  <si>
    <t>Comparison</t>
  </si>
  <si>
    <t>模型、features 與參數都決定後，才使用 292 筆 Final Test 做一次最終評估。</t>
  </si>
  <si>
    <t>Raw階段，非H1 Final</t>
  </si>
  <si>
    <t>Protocol</t>
  </si>
  <si>
    <t>Control</t>
  </si>
  <si>
    <t>MOD-04</t>
  </si>
  <si>
    <t>Treatment</t>
  </si>
  <si>
    <t>Ridge</t>
  </si>
  <si>
    <t>Control RMSE USD</t>
  </si>
  <si>
    <t>Treatment RMSE USD</t>
  </si>
  <si>
    <t>ΔRMSE USD</t>
  </si>
  <si>
    <t>ΔRMSE %</t>
  </si>
  <si>
    <t>CV preprocessing leakage</t>
  </si>
  <si>
    <t>ΔMAE USD</t>
  </si>
  <si>
    <t>Resolved in P3</t>
  </si>
  <si>
    <t>{"regressor__model__alpha": 10.0}</t>
  </si>
  <si>
    <t>改善RMSE折數 /5</t>
  </si>
  <si>
    <t>P3 正式 CV 時，每個 fold 都只用該 fold 的 training data 重新做 preprocessing，再套到 validation fold。</t>
  </si>
  <si>
    <t>每折降維</t>
  </si>
  <si>
    <t>Raw階段alpha10；H1 comparison另列</t>
  </si>
  <si>
    <t>探索規則通過</t>
  </si>
  <si>
    <t>MOD-05</t>
  </si>
  <si>
    <t>H3 tolerance</t>
  </si>
  <si>
    <t>Lasso</t>
  </si>
  <si>
    <t>Confirmatory claim</t>
  </si>
  <si>
    <t>H1</t>
  </si>
  <si>
    <t>fixed_alpha10_primary</t>
  </si>
  <si>
    <t>{"regressor__model__alpha": 0.00031622776601683794}</t>
  </si>
  <si>
    <t>H1_QualityArea</t>
  </si>
  <si>
    <t>Raw階段，非Final selection</t>
  </si>
  <si>
    <t>MOD-06</t>
  </si>
  <si>
    <t>Elastic Net</t>
  </si>
  <si>
    <t>{"regressor__model__alpha": 0.00031622776601683794, "regressor__model__l1_ratio": 0.9}</t>
  </si>
  <si>
    <t>Raw階段l1_ratio=.9；Final H1採.1，勿混用</t>
  </si>
  <si>
    <t>MOD-07</t>
  </si>
  <si>
    <t>Polynomial / Interaction</t>
  </si>
  <si>
    <t>否</t>
  </si>
  <si>
    <t>是</t>
  </si>
  <si>
    <t>{"alpha": 10.0}</t>
  </si>
  <si>
    <t>H2</t>
  </si>
  <si>
    <t>../model/results/tables/model_choice/model_choice_evidence.csv</t>
  </si>
  <si>
    <t>H2_RawLotArea</t>
  </si>
  <si>
    <t>QualityArea interaction（Ridge alpha10），非獨立polynomial實驗；與MOD-04比較</t>
  </si>
  <si>
    <t>H2_LogLotArea</t>
  </si>
  <si>
    <t>MOD-08</t>
  </si>
  <si>
    <t>Strong Nonlinear Baseline</t>
  </si>
  <si>
    <t>H2_vs_P1_BoxCox</t>
  </si>
  <si>
    <t>{"model__max_depth": null, "model__max_features": 0.7, "model__min_samples_leaf": 1}</t>
  </si>
  <si>
    <t>Random Forest strong baseline；raw target較佳</t>
  </si>
  <si>
    <t>H3</t>
  </si>
  <si>
    <t>各模型摘要採該Raw階段較佳target；MOD-07另列H1 interaction。完整13組Raw model/target比較見第45列。</t>
  </si>
  <si>
    <t>H3_TotalSF</t>
  </si>
  <si>
    <t>CV MAE／RMSE單位USD，Std為五折SD。固定五折同時調參，不是nested CV；不把SD當95% CI。</t>
  </si>
  <si>
    <t>H1 selection：相同H1_QualityArea與log1p target；依效能、稀疏性、穩定性取捨，不宣稱EN顯著勝過Lasso。</t>
  </si>
  <si>
    <t>C_vs_B</t>
  </si>
  <si>
    <t>B_MI20</t>
  </si>
  <si>
    <t>C_Engineered</t>
  </si>
  <si>
    <t>H1-01</t>
  </si>
  <si>
    <t>C_vs_A</t>
  </si>
  <si>
    <t>Comparator；同H1 feature set</t>
  </si>
  <si>
    <t>H1-02</t>
  </si>
  <si>
    <t>MI15_vs_MI20</t>
  </si>
  <si>
    <t>B_MI15</t>
  </si>
  <si>
    <t>{"alpha": 0.00031622776601683794}</t>
  </si>
  <si>
    <t>same_grid_tuned_sensitivity</t>
  </si>
  <si>
    <t>H1-03</t>
  </si>
  <si>
    <t>ElasticNet</t>
  </si>
  <si>
    <t>{"alpha": 0.0031622776601683794, "l1_ratio": 0.1}</t>
  </si>
  <si>
    <t>SELECTED FINAL；alpha=.00316227766，l1_ratio=.1</t>
  </si>
  <si>
    <t>Final Test：292筆；04先freeze後評估，含防重跑。15,000 USD為專案門檻，不是95%信賴區間。</t>
  </si>
  <si>
    <t>CV MAE mean</t>
  </si>
  <si>
    <t>CV MAE SD</t>
  </si>
  <si>
    <t>CV RMSE mean</t>
  </si>
  <si>
    <t>CV RMSE SD</t>
  </si>
  <si>
    <t>Test MAE USD</t>
  </si>
  <si>
    <t>Test RMSE USD</t>
  </si>
  <si>
    <t>Test R²</t>
  </si>
  <si>
    <t>MAE≤15,000</t>
  </si>
  <si>
    <t>Mean</t>
  </si>
  <si>
    <t>raw</t>
  </si>
  <si>
    <t>SingleOLS</t>
  </si>
  <si>
    <t>RandomForest</t>
  </si>
  <si>
    <t>log1p</t>
  </si>
  <si>
    <t>來源：../model/results/tables/final_test/final_test_results.csv；freeze_settings.json。</t>
  </si>
  <si>
    <t>Final Setting</t>
  </si>
  <si>
    <t>H1 selection；保留全精度</t>
  </si>
  <si>
    <t>Feature set</t>
  </si>
  <si>
    <t>A_Raw + QualityArea；保留main effects</t>
  </si>
  <si>
    <t>預測expm1還原USD</t>
  </si>
  <si>
    <t>alpha</t>
  </si>
  <si>
    <t>與Raw階段不同</t>
  </si>
  <si>
    <t>l1_ratio</t>
  </si>
  <si>
    <t>n_test</t>
  </si>
  <si>
    <t>Held-out，非Kaggle無標籤test.csv</t>
  </si>
  <si>
    <t>MAE threshold USD</t>
  </si>
  <si>
    <t>CV mean+2 SD向上取整的專案規則</t>
  </si>
  <si>
    <t>CV mean + 2 SD USD</t>
  </si>
  <si>
    <t>不是95%區間；全精度為14,984.61</t>
  </si>
  <si>
    <t>完整Raw-stage 13組原始比較；原始資料CSV與139列tuning table位於交付包evidence，未重跑。</t>
  </si>
  <si>
    <t>Statistical evidence and limits</t>
  </si>
  <si>
    <t>RAW-01</t>
  </si>
  <si>
    <t>係數為固定preprocessing／features／hyperparameters下的條件式bootstrap近似</t>
  </si>
  <si>
    <t>MAE gap USD</t>
  </si>
  <si>
    <t>CI95 low USD</t>
  </si>
  <si>
    <t>CI95 high USD</t>
  </si>
  <si>
    <t>Raw-stage development CV</t>
  </si>
  <si>
    <t>Permutation p</t>
  </si>
  <si>
    <t>RAW-02</t>
  </si>
  <si>
    <t>Bootstrap reps</t>
  </si>
  <si>
    <t>Permutation reps</t>
  </si>
  <si>
    <t>ElasticNet minus RandomForest</t>
  </si>
  <si>
    <t>RAW-03</t>
  </si>
  <si>
    <t>RAW-04</t>
  </si>
  <si>
    <t>來源：model_significance.csv；04 notebook：seed42、paired percentile CI、雙側換號permutation加一修正；EN−RF</t>
  </si>
  <si>
    <t>RAW-05</t>
  </si>
  <si>
    <t>RAW-06</t>
  </si>
  <si>
    <t>Error slices and cases</t>
  </si>
  <si>
    <t>係數盤點</t>
  </si>
  <si>
    <t>Count／value</t>
  </si>
  <si>
    <t>意義</t>
  </si>
  <si>
    <t>{"regressor__model__max_depth": null, "regressor__model__max_features": 0.7, "regressor__model__min_samples_leaf": 3}</t>
  </si>
  <si>
    <t>Encoded predictors</t>
  </si>
  <si>
    <t>RAW-07</t>
  </si>
  <si>
    <t>完整training fit；不同於CV平均209.8</t>
  </si>
  <si>
    <t>Residual=actual−predicted；正值=低估；10筆cause_review仍待人工確認</t>
  </si>
  <si>
    <t>Nonzero coefficients</t>
  </si>
  <si>
    <t>完整training fit；不同於CV平均113.4</t>
  </si>
  <si>
    <t>{"model__alpha": 100.0}</t>
  </si>
  <si>
    <t>Uncorrected CI excludes zero</t>
  </si>
  <si>
    <t>RAW-08</t>
  </si>
  <si>
    <t>不是校正後顯著特徵數</t>
  </si>
  <si>
    <t>Uncorrected p&lt;0.05</t>
  </si>
  <si>
    <t>CI與p的計算不同，不互換計數</t>
  </si>
  <si>
    <t>{"model__alpha": 10.0}</t>
  </si>
  <si>
    <t>Slice</t>
  </si>
  <si>
    <t>Group</t>
  </si>
  <si>
    <t>Holm-adjusted p&lt;0.05</t>
  </si>
  <si>
    <t>RAW-09</t>
  </si>
  <si>
    <t>n</t>
  </si>
  <si>
    <t>沒有係數通過此校正門檻</t>
  </si>
  <si>
    <t>MAE USD</t>
  </si>
  <si>
    <t>RMSE USD</t>
  </si>
  <si>
    <t>Minimum Holm p</t>
  </si>
  <si>
    <t>{"model__alpha": 0.09999999999999999, "model__l1_ratio": 0.9}</t>
  </si>
  <si>
    <t>area</t>
  </si>
  <si>
    <t>small</t>
  </si>
  <si>
    <t>不宣稱29個校正後顯著</t>
  </si>
  <si>
    <t>RAW-10</t>
  </si>
  <si>
    <t>Infinite VIF</t>
  </si>
  <si>
    <t>保持∞；不替換為0</t>
  </si>
  <si>
    <t>Source: ../model/results/tables/feature_ablation/hypothesis_results.csv</t>
  </si>
  <si>
    <t>RAW-11</t>
  </si>
  <si>
    <t>RAW-12</t>
  </si>
  <si>
    <t>H1 跨折係數穩定性</t>
  </si>
  <si>
    <t>medium</t>
  </si>
  <si>
    <t>全部 tuned feature-set comparisons（27列）</t>
  </si>
  <si>
    <t>RAW-13</t>
  </si>
  <si>
    <t>Mean encoded</t>
  </si>
  <si>
    <t>Mean rank deficiency</t>
  </si>
  <si>
    <t>Mean nonzero</t>
  </si>
  <si>
    <t>Nonzero fraction</t>
  </si>
  <si>
    <t>Pairwise cosine</t>
  </si>
  <si>
    <t>MAE mean USD</t>
  </si>
  <si>
    <t>Nonzero Jaccard</t>
  </si>
  <si>
    <t>MAE SD USD</t>
  </si>
  <si>
    <t>Median sign consistency</t>
  </si>
  <si>
    <t>RMSE mean USD</t>
  </si>
  <si>
    <t>RMSE SD USD</t>
  </si>
  <si>
    <t>R² mean</t>
  </si>
  <si>
    <t>Parameters</t>
  </si>
  <si>
    <t>Convergence warning</t>
  </si>
  <si>
    <t>large</t>
  </si>
  <si>
    <t>quality</t>
  </si>
  <si>
    <t>&lt;=5</t>
  </si>
  <si>
    <t>Source: ../model/results/tables/model_choice/coefficient_stability_summary.csv</t>
  </si>
  <si>
    <t>完整214係數：CI對應beta_per_training_SD，1000次條件式pairs bootstrap</t>
  </si>
  <si>
    <t>6-7</t>
  </si>
  <si>
    <t>feature</t>
  </si>
  <si>
    <t>coefficient_scaled_input</t>
  </si>
  <si>
    <t>beta_per_training_SD</t>
  </si>
  <si>
    <t>CI95_low</t>
  </si>
  <si>
    <t>CI95_high</t>
  </si>
  <si>
    <t>bootstrap_centered_p_approx</t>
  </si>
  <si>
    <t>{"alpha": 0.00031622776601683794, "l1_ratio": 0.9}</t>
  </si>
  <si>
    <t>holm_p_approx</t>
  </si>
  <si>
    <t>VIF</t>
  </si>
  <si>
    <t>effect_unit</t>
  </si>
  <si>
    <t>inference_scope</t>
  </si>
  <si>
    <t>relative_change_approx</t>
  </si>
  <si>
    <t>LotFrontage</t>
  </si>
  <si>
    <t>&gt;=8</t>
  </si>
  <si>
    <t>log(1+USD)</t>
  </si>
  <si>
    <t>conditional on fixed preprocessing/features/hyperparameters</t>
  </si>
  <si>
    <t>LotArea</t>
  </si>
  <si>
    <t>Street</t>
  </si>
  <si>
    <t>Alley</t>
  </si>
  <si>
    <t>Final Test面積：GrLivArea≤1252、(1252,1677.6667]、&gt;1677.6667 sq ft；由training三分位數決定，使用未四捨五入值。</t>
  </si>
  <si>
    <t>LotShape</t>
  </si>
  <si>
    <t>LandSlope</t>
  </si>
  <si>
    <t>OverallQual</t>
  </si>
  <si>
    <t>最大10筆絕對誤差</t>
  </si>
  <si>
    <t>Id</t>
  </si>
  <si>
    <t>OverallCond</t>
  </si>
  <si>
    <t>Neighborhood</t>
  </si>
  <si>
    <t>YearBuilt</t>
  </si>
  <si>
    <t>YearRemodAdd</t>
  </si>
  <si>
    <t>TotalBsmtSF</t>
  </si>
  <si>
    <t>GarageCars</t>
  </si>
  <si>
    <t>actual_USD</t>
  </si>
  <si>
    <t>predicted_USD</t>
  </si>
  <si>
    <t>signed_error_USD</t>
  </si>
  <si>
    <t>absolute_error_USD</t>
  </si>
  <si>
    <t>cause_review</t>
  </si>
  <si>
    <t>899</t>
  </si>
  <si>
    <t>NridgHt</t>
  </si>
  <si>
    <t>MasVnrArea</t>
  </si>
  <si>
    <t>需依房屋特徵與 training 範圍確認；原因不能只由價格猜測</t>
  </si>
  <si>
    <t>775</t>
  </si>
  <si>
    <t>ExterQual</t>
  </si>
  <si>
    <t>1047</t>
  </si>
  <si>
    <t>ExterCond</t>
  </si>
  <si>
    <t>StoneBr</t>
  </si>
  <si>
    <t>BsmtQual</t>
  </si>
  <si>
    <t>589</t>
  </si>
  <si>
    <t>ClearCr</t>
  </si>
  <si>
    <t>BsmtCond</t>
  </si>
  <si>
    <t>BsmtExposure</t>
  </si>
  <si>
    <t>219</t>
  </si>
  <si>
    <t>Crawfor</t>
  </si>
  <si>
    <t>BsmtFinType1</t>
  </si>
  <si>
    <t>BsmtFinSF1</t>
  </si>
  <si>
    <t>582</t>
  </si>
  <si>
    <t>BsmtFinType2</t>
  </si>
  <si>
    <t>B_Pearson20</t>
  </si>
  <si>
    <t>1025</t>
  </si>
  <si>
    <t>BsmtFinSF2</t>
  </si>
  <si>
    <t>{"alpha": 0.0031622776601683794, "l1_ratio": 0.9}</t>
  </si>
  <si>
    <t>Timber</t>
  </si>
  <si>
    <t>BsmtUnfSF</t>
  </si>
  <si>
    <t>232</t>
  </si>
  <si>
    <t>{"alpha": 0.0031622776601683794}</t>
  </si>
  <si>
    <t>NoRidge</t>
  </si>
  <si>
    <t>HeatingQC</t>
  </si>
  <si>
    <t>629</t>
  </si>
  <si>
    <t>NAmes</t>
  </si>
  <si>
    <t>CentralAir</t>
  </si>
  <si>
    <t>{"alpha": 3.162277660168379}</t>
  </si>
  <si>
    <t>1stFlrSF</t>
  </si>
  <si>
    <t>1244</t>
  </si>
  <si>
    <t>2ndFlrSF</t>
  </si>
  <si>
    <t>LowQualFinSF</t>
  </si>
  <si>
    <t>BsmtFullBath</t>
  </si>
  <si>
    <t>Source: ../model/results/tables/final_test/large_error_cases.csv</t>
  </si>
  <si>
    <t>BsmtHalfBath</t>
  </si>
  <si>
    <t>05 OOF另用1500／2500 sq ft，不能混用同名切片；來源：04／05 notebooks。</t>
  </si>
  <si>
    <t>FullBath</t>
  </si>
  <si>
    <t>{"alpha": 0.00031622776601683794, "l1_ratio": 0.1}</t>
  </si>
  <si>
    <t>HalfBath</t>
  </si>
  <si>
    <t>{"alpha": 3.1622776601683795e-05}</t>
  </si>
  <si>
    <t>BedroomAbvGr</t>
  </si>
  <si>
    <t>KitchenAbvGr</t>
  </si>
  <si>
    <t>KitchenQual</t>
  </si>
  <si>
    <t>Source: ../model/results/tables/feature_ablation/ablation_results.csv</t>
  </si>
  <si>
    <t>TotRmsAbvGrd</t>
  </si>
  <si>
    <t>Functional</t>
  </si>
  <si>
    <t>Fireplaces</t>
  </si>
  <si>
    <t>FireplaceQu</t>
  </si>
  <si>
    <t>GarageFinish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</si>
  <si>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</si>
  <si>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</si>
  <si>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</si>
  <si>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</si>
  <si>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</si>
  <si>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</si>
  <si>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</si>
  <si>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</si>
  <si>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</si>
  <si>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</si>
  <si>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</si>
  <si>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</si>
  <si>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MiscVal</t>
  </si>
  <si>
    <t>QualityArea</t>
  </si>
  <si>
    <t>MSSubClass_120</t>
  </si>
  <si>
    <t>∞</t>
  </si>
  <si>
    <t>MSSubClass_160</t>
  </si>
  <si>
    <t>MSSubClass_180</t>
  </si>
  <si>
    <t>MSSubClass_190</t>
  </si>
  <si>
    <t>MSSubClass_20</t>
  </si>
  <si>
    <t>MSSubClass_30</t>
  </si>
  <si>
    <t>MSSubClass_40</t>
  </si>
  <si>
    <t>MSSubClass_45</t>
  </si>
  <si>
    <t>MSSubClass_50</t>
  </si>
  <si>
    <t>MSSubClass_60</t>
  </si>
  <si>
    <t>MSSubClass_70</t>
  </si>
  <si>
    <t>MSSubClass_75</t>
  </si>
  <si>
    <t>MSSubClass_80</t>
  </si>
  <si>
    <t>MSSubClass_85</t>
  </si>
  <si>
    <t>MSSubClass_90</t>
  </si>
  <si>
    <t>MSZoning_C (all)</t>
  </si>
  <si>
    <t>MSZoning_FV</t>
  </si>
  <si>
    <t>MSZoning_RH</t>
  </si>
  <si>
    <t>MSZoning_RL</t>
  </si>
  <si>
    <t>MSZoning_RM</t>
  </si>
  <si>
    <t>LandContour_Bnk</t>
  </si>
  <si>
    <t>LandContour_HLS</t>
  </si>
  <si>
    <t>LandContour_Low</t>
  </si>
  <si>
    <t>LandContour_Lvl</t>
  </si>
  <si>
    <t>LotConfig_Corner</t>
  </si>
  <si>
    <t>LotConfig_CulDSac</t>
  </si>
  <si>
    <t>LotConfig_FR2</t>
  </si>
  <si>
    <t>LotConfig_FR3</t>
  </si>
  <si>
    <t>LotConfig_Inside</t>
  </si>
  <si>
    <t>Neighborhood_Blmngtn</t>
  </si>
  <si>
    <t>Neighborhood_Blueste</t>
  </si>
  <si>
    <t>Neighborhood_BrDale</t>
  </si>
  <si>
    <t>Neighborhood_BrkSide</t>
  </si>
  <si>
    <t>Neighborhood_ClearCr</t>
  </si>
  <si>
    <t>Neighborhood_CollgCr</t>
  </si>
  <si>
    <t>Neighborhood_Crawfor</t>
  </si>
  <si>
    <t>Neighborhood_Edwards</t>
  </si>
  <si>
    <t>Neighborhood_Gilbert</t>
  </si>
  <si>
    <t>Neighborhood_IDOTRR</t>
  </si>
  <si>
    <t>Neighborhood_MeadowV</t>
  </si>
  <si>
    <t>Neighborhood_Mitchel</t>
  </si>
  <si>
    <t>Neighborhood_NAmes</t>
  </si>
  <si>
    <t>Neighborhood_NPkVill</t>
  </si>
  <si>
    <t>Neighborhood_NWAmes</t>
  </si>
  <si>
    <t>Neighborhood_NoRidge</t>
  </si>
  <si>
    <t>Neighborhood_NridgHt</t>
  </si>
  <si>
    <t>Neighborhood_OldTown</t>
  </si>
  <si>
    <t>Neighborhood_SWISU</t>
  </si>
  <si>
    <t>Neighborhood_Sawyer</t>
  </si>
  <si>
    <t>Neighborhood_SawyerW</t>
  </si>
  <si>
    <t>Neighborhood_Somerst</t>
  </si>
  <si>
    <t>Neighborhood_StoneBr</t>
  </si>
  <si>
    <t>Neighborhood_Timber</t>
  </si>
  <si>
    <t>Neighborhood_Veenker</t>
  </si>
  <si>
    <t>Condition1_Artery</t>
  </si>
  <si>
    <t>Condition1_Feedr</t>
  </si>
  <si>
    <t>Condition1_Norm</t>
  </si>
  <si>
    <t>Condition1_PosA</t>
  </si>
  <si>
    <t>Condition1_PosN</t>
  </si>
  <si>
    <t>Condition1_RRAe</t>
  </si>
  <si>
    <t>Condition1_RRAn</t>
  </si>
  <si>
    <t>Condition1_RRNe</t>
  </si>
  <si>
    <t>Condition1_RRNn</t>
  </si>
  <si>
    <t>Condition2_Artery</t>
  </si>
  <si>
    <t>Condition2_Feedr</t>
  </si>
  <si>
    <t>Condition2_Norm</t>
  </si>
  <si>
    <t>Condition2_PosA</t>
  </si>
  <si>
    <t>Condition2_PosN</t>
  </si>
  <si>
    <t>Step</t>
  </si>
  <si>
    <t>Condition2_RRAe</t>
  </si>
  <si>
    <t>Method</t>
  </si>
  <si>
    <t>Condition2_RRAn</t>
  </si>
  <si>
    <t>Details</t>
  </si>
  <si>
    <t>Train / Test Split</t>
  </si>
  <si>
    <t>Condition2_RRNn</t>
  </si>
  <si>
    <t>Random train-test split</t>
  </si>
  <si>
    <t>原始 1,460 筆 → Train 1,168、Final Test 292；random_state=42</t>
  </si>
  <si>
    <t>Outlier Handling</t>
  </si>
  <si>
    <t>Remove outliers</t>
  </si>
  <si>
    <t>BldgType_1Fam</t>
  </si>
  <si>
    <t>移除 Train 中 2 筆：Id 524、1299</t>
  </si>
  <si>
    <t>Missing Values - Facilities</t>
  </si>
  <si>
    <t>Fill with 無 / 0</t>
  </si>
  <si>
    <t>「沒有該設施」造成的 NA 以「無」或 0 表示</t>
  </si>
  <si>
    <t>BldgType_2fmCon</t>
  </si>
  <si>
    <t>Missing Values - Lot Frontage</t>
  </si>
  <si>
    <t>Neighborhood median</t>
  </si>
  <si>
    <t>使用 Train set 中相同社區的中位數補值</t>
  </si>
  <si>
    <t>Missing Values - Others</t>
  </si>
  <si>
    <t>Mode imputation</t>
  </si>
  <si>
    <t>其餘少量缺值使用 Train set 眾數</t>
  </si>
  <si>
    <t>BldgType_Duplex</t>
  </si>
  <si>
    <t>Column Removal</t>
  </si>
  <si>
    <t>Remove Utilities</t>
  </si>
  <si>
    <t>Utilities 幾乎全部相同</t>
  </si>
  <si>
    <t>Remove GarageYrBlt</t>
  </si>
  <si>
    <t>缺值代表沒有車庫；補 0 或其他年份都不合理</t>
  </si>
  <si>
    <t>BldgType_Twnhs</t>
  </si>
  <si>
    <t>Ordinal Encoding</t>
  </si>
  <si>
    <t>Manual ordinal mapping</t>
  </si>
  <si>
    <t>22 個有順序的類別欄轉成數值</t>
  </si>
  <si>
    <t>Nominal Encoding</t>
  </si>
  <si>
    <t>BldgType_TwnhsE</t>
  </si>
  <si>
    <t>19 個 nominal categorical features</t>
  </si>
  <si>
    <t>Skewness Transformation</t>
  </si>
  <si>
    <t>Box-Cox, λ=0.15</t>
  </si>
  <si>
    <t>35 個 |skewness| &gt; 0.75 的數值欄</t>
  </si>
  <si>
    <t>HouseStyle_1.5Fin</t>
  </si>
  <si>
    <t>Scaling</t>
  </si>
  <si>
    <t>54 個數值欄縮放；One-hot features 不縮放</t>
  </si>
  <si>
    <t>Target Transformation</t>
  </si>
  <si>
    <t>HouseStyle_1.5Unf</t>
  </si>
  <si>
    <t>HouseStyle_1Story</t>
  </si>
  <si>
    <t>原始target skewness 1.74 → log target 0.12；P3 Final已採log1p，預測以expm1還原USD。</t>
  </si>
  <si>
    <t>HouseStyle_2.5Fin</t>
  </si>
  <si>
    <t>HouseStyle_2.5Unf</t>
  </si>
  <si>
    <t>HouseStyle_2Story</t>
  </si>
  <si>
    <t>HouseStyle_SFoyer</t>
  </si>
  <si>
    <t>HouseStyle_SLvl</t>
  </si>
  <si>
    <t>RoofStyle_Flat</t>
  </si>
  <si>
    <t>RoofStyle_Gable</t>
  </si>
  <si>
    <t>RoofStyle_Gambrel</t>
  </si>
  <si>
    <t>RoofStyle_Hip</t>
  </si>
  <si>
    <t>RoofStyle_Mansard</t>
  </si>
  <si>
    <t>RoofStyle_Shed</t>
  </si>
  <si>
    <t>RoofMatl_CompShg</t>
  </si>
  <si>
    <t>RoofMatl_Metal</t>
  </si>
  <si>
    <t>RoofMatl_Roll</t>
  </si>
  <si>
    <t>RoofMatl_Tar&amp;Grv</t>
  </si>
  <si>
    <t>RoofMatl_WdShake</t>
  </si>
  <si>
    <t>Feature definitions and controls</t>
  </si>
  <si>
    <t>RoofMatl_WdShngl</t>
  </si>
  <si>
    <t>Paper figures and tables</t>
  </si>
  <si>
    <t>H1_QualityArea 是 final feature set；C_Engineered 是 MI20 基底，兩者不同</t>
  </si>
  <si>
    <t>Exterior1st_AsbShng</t>
  </si>
  <si>
    <t>報告素材：兩張圖、五份表格；放置位置與說明見README。</t>
  </si>
  <si>
    <t>Exterior1st_AsphShn</t>
  </si>
  <si>
    <t>Feature／set</t>
  </si>
  <si>
    <t>定義／公式</t>
  </si>
  <si>
    <t>Unit／範圍</t>
  </si>
  <si>
    <t>Exterior1st_BrkComm</t>
  </si>
  <si>
    <t>保留／移除規則</t>
  </si>
  <si>
    <t>狀態</t>
  </si>
  <si>
    <t>編號／用途</t>
  </si>
  <si>
    <t>內容</t>
  </si>
  <si>
    <t>本資料夾位置</t>
  </si>
  <si>
    <t>OverallQual × GrLivArea</t>
  </si>
  <si>
    <t>整理狀態</t>
  </si>
  <si>
    <t>rating point × sq ft</t>
  </si>
  <si>
    <t>Exterior1st_BrkFace</t>
  </si>
  <si>
    <t>放置章節與注意</t>
  </si>
  <si>
    <t>P1補值後、Box-Cox前建立；保留main effects；QualityArea不做Box-Cox但仍縮放</t>
  </si>
  <si>
    <t>Figure 1</t>
  </si>
  <si>
    <t>Final採用</t>
  </si>
  <si>
    <t>QualityArea EDA</t>
  </si>
  <si>
    <t>LogLotArea</t>
  </si>
  <si>
    <t>figures/Figure_1_EDA_QualityArea.png</t>
  </si>
  <si>
    <t>log1p(LotArea)</t>
  </si>
  <si>
    <t>Exterior1st_CBlock</t>
  </si>
  <si>
    <t>已整理</t>
  </si>
  <si>
    <t>log-transformed area</t>
  </si>
  <si>
    <t>§4；P2原圖，n=1166，H1動機，不是因果／預測改善證據</t>
  </si>
  <si>
    <t>H2以LogLotArea替換LotArea，不再次Box-Cox；H2_Raw控制也不做LotArea Box-Cox</t>
  </si>
  <si>
    <t>Figure 2</t>
  </si>
  <si>
    <t>已測試</t>
  </si>
  <si>
    <t>Exterior1st_CemntBd</t>
  </si>
  <si>
    <t>Compact pipeline</t>
  </si>
  <si>
    <t>TotalSF</t>
  </si>
  <si>
    <t>figures/Figure_2_Method_Pipeline_Compact.png</t>
  </si>
  <si>
    <t>TotalBsmtSF + 1stFlrSF + 2ndFlrSF</t>
  </si>
  <si>
    <t>sq ft</t>
  </si>
  <si>
    <t>§5.1；各階段input/output、fold-local、freeze、refit、USD評估</t>
  </si>
  <si>
    <t>H3以1欄替換3欄，encoding前淨少2欄</t>
  </si>
  <si>
    <t>Exterior1st_HdBoard</t>
  </si>
  <si>
    <t>Table 1</t>
  </si>
  <si>
    <t>資料摘要</t>
  </si>
  <si>
    <t>HouseAge</t>
  </si>
  <si>
    <t>tables/01_dataset_summary.md</t>
  </si>
  <si>
    <t>YrSold − YearBuilt</t>
  </si>
  <si>
    <t>years</t>
  </si>
  <si>
    <t>不適用</t>
  </si>
  <si>
    <t>§3；P1統計是刪異常值前1168筆；EDA／建模為1166筆</t>
  </si>
  <si>
    <t>YrSold 預測時不可用，正式集合排除</t>
  </si>
  <si>
    <t>Exterior1st_ImStucc</t>
  </si>
  <si>
    <t>Table 2</t>
  </si>
  <si>
    <t>Supplementary</t>
  </si>
  <si>
    <t>CV與Final Test比較</t>
  </si>
  <si>
    <t>tables/02_model_comparison.md</t>
  </si>
  <si>
    <t>73個可用原始 features</t>
  </si>
  <si>
    <t>Exterior1st_MetalSd</t>
  </si>
  <si>
    <t>73欄；one-hot 206–212</t>
  </si>
  <si>
    <t>基底</t>
  </si>
  <si>
    <t>§7.1；Mean／單特徵OLS／RF／Final EN，附CI與p</t>
  </si>
  <si>
    <t>Raw是欄位集合，不代表沒前處理；含P1 Box-Cox對照</t>
  </si>
  <si>
    <t>Table 3</t>
  </si>
  <si>
    <t>實作已核對</t>
  </si>
  <si>
    <t>A/B/Final與H1–H3</t>
  </si>
  <si>
    <t>B_MI15 / B_MI20</t>
  </si>
  <si>
    <t>tables/03_feature_ablation.md</t>
  </si>
  <si>
    <t>Exterior1st_Plywood</t>
  </si>
  <si>
    <t>每折training內 MI Top-15 / 20</t>
  </si>
  <si>
    <t>既有結果</t>
  </si>
  <si>
    <t>encoding前選擇</t>
  </si>
  <si>
    <t>§7.2；EN特徵組比較與固定Ridge假設驗證分開。</t>
  </si>
  <si>
    <t>A_Raw作參考</t>
  </si>
  <si>
    <t>Table 4</t>
  </si>
  <si>
    <t>每折training內以log target估MI（k=3、seed42），不沿用P2全training排名</t>
  </si>
  <si>
    <t>214欄係數／CI／p／VIF</t>
  </si>
  <si>
    <t>Exterior1st_Stone</t>
  </si>
  <si>
    <t>tables/04_coefficients.md</t>
  </si>
  <si>
    <t>完整數值</t>
  </si>
  <si>
    <t>每折numeric abs(Pearson) Top-20</t>
  </si>
  <si>
    <t>§8.1；完整214欄。p為近似檢定，係數不代表因果效果。</t>
  </si>
  <si>
    <t>numeric選擇</t>
  </si>
  <si>
    <t>Exterior1st_Stucco</t>
  </si>
  <si>
    <t>Table 5</t>
  </si>
  <si>
    <t>不是對全部73欄計算 Pearson</t>
  </si>
  <si>
    <t>三筆最大錯誤案例</t>
  </si>
  <si>
    <t>tables/05_error_cases.md</t>
  </si>
  <si>
    <t>三筆案例</t>
  </si>
  <si>
    <t>§8.2；實際價格、預測、誤差與背景；原因是可能解釋。</t>
  </si>
  <si>
    <t>Exterior1st_VinylSd</t>
  </si>
  <si>
    <t>同折 B_MI20 + QualityArea + LogLotArea + TotalSF</t>
  </si>
  <si>
    <t>原始結果</t>
  </si>
  <si>
    <t>23欄；one-hot 71–80</t>
  </si>
  <si>
    <t>P2／P3原始結果（沿用repo）</t>
  </si>
  <si>
    <t>保留同折MI20原欄＋3工程欄，不移除已選LotArea或面積分項；與H2/H3替換組不同</t>
  </si>
  <si>
    <t>../EDA/tables/；../model/results/tables/</t>
  </si>
  <si>
    <t>連回原檔</t>
  </si>
  <si>
    <t>Exterior1st_Wd Sdng</t>
  </si>
  <si>
    <t>原表保留於組員資料夾，本版不另複製來源。</t>
  </si>
  <si>
    <t>選用說明</t>
  </si>
  <si>
    <t>A_Raw + QualityArea</t>
  </si>
  <si>
    <t>圖表位置、caption與來源</t>
  </si>
  <si>
    <t>raw + interaction</t>
  </si>
  <si>
    <t>README.md</t>
  </si>
  <si>
    <t>Exterior1st_WdShing</t>
  </si>
  <si>
    <t>保留main effects；final設定採此集合</t>
  </si>
  <si>
    <t>圖表的放置章節與解釋已合併至README。</t>
  </si>
  <si>
    <t>Exterior2nd_AsbShng</t>
  </si>
  <si>
    <t>未採用的heatmap、排名、ablation長條與殘差圖仍在原repo；不代表可省略必要結果。</t>
  </si>
  <si>
    <t>Exterior2nd_AsphShn</t>
  </si>
  <si>
    <t>來源：../EDA/tables/feature_definition.csv；feature_sets.csv；../model/notebooks/05_feature_ablation.ipynb</t>
  </si>
  <si>
    <t>Exterior2nd_Brk Cmn</t>
  </si>
  <si>
    <t>正文最多六頁；這份提供圖表素材，不代表paper已完成排版。</t>
  </si>
  <si>
    <t>Exterior2nd_BrkFace</t>
  </si>
  <si>
    <t>Exterior2nd_CBlock</t>
  </si>
  <si>
    <t>Exterior2nd_CmentBd</t>
  </si>
  <si>
    <t>Exterior2nd_HdBoard</t>
  </si>
  <si>
    <t>Exterior2nd_ImStucc</t>
  </si>
  <si>
    <t>Exterior2nd_MetalSd</t>
  </si>
  <si>
    <t>Exterior2nd_Other</t>
  </si>
  <si>
    <t>Exterior2nd_Plywood</t>
  </si>
  <si>
    <t>Exterior2nd_Stone</t>
  </si>
  <si>
    <t>Exterior2nd_Stucco</t>
  </si>
  <si>
    <t>Exterior2nd_VinylSd</t>
  </si>
  <si>
    <t>Exterior2nd_Wd Sdng</t>
  </si>
  <si>
    <t>Exterior2nd_Wd Shng</t>
  </si>
  <si>
    <t>MasVnrType_BrkCmn</t>
  </si>
  <si>
    <t>MasVnrType_BrkFace</t>
  </si>
  <si>
    <t>MasVnrType_None</t>
  </si>
  <si>
    <t>MasVnrType_Stone</t>
  </si>
  <si>
    <t>Foundation_BrkTil</t>
  </si>
  <si>
    <t>Foundation_CBlock</t>
  </si>
  <si>
    <t>Foundation_PConc</t>
  </si>
  <si>
    <t>Foundation_Slab</t>
  </si>
  <si>
    <t>Foundation_Stone</t>
  </si>
  <si>
    <t>Foundation_Wood</t>
  </si>
  <si>
    <t>Heating_Floor</t>
  </si>
  <si>
    <t>Heating_GasA</t>
  </si>
  <si>
    <t>Heating_GasW</t>
  </si>
  <si>
    <t>Heating_Grav</t>
  </si>
  <si>
    <t>Integrated workflow</t>
  </si>
  <si>
    <t>Heating_OthW</t>
  </si>
  <si>
    <t>完整repo靜態核對版；原始training輸入與各折fit已定位，不重跑既有分析</t>
  </si>
  <si>
    <t>Heating_Wall</t>
  </si>
  <si>
    <t>Electrical_FuseA</t>
  </si>
  <si>
    <t>Electrical_FuseF</t>
  </si>
  <si>
    <t>Stage</t>
  </si>
  <si>
    <t>Input</t>
  </si>
  <si>
    <t>Action</t>
  </si>
  <si>
    <t>Output</t>
  </si>
  <si>
    <t>Boundary／狀態</t>
  </si>
  <si>
    <t>Electrical_FuseP</t>
  </si>
  <si>
    <t>01</t>
  </si>
  <si>
    <t>P1 split</t>
  </si>
  <si>
    <t>原始有標籤1,460；切1,168／292</t>
  </si>
  <si>
    <t>training排除既定Id524、1299後剩1,166</t>
  </si>
  <si>
    <t>Training1,166／holdout292</t>
  </si>
  <si>
    <t>Electrical_SBrkr</t>
  </si>
  <si>
    <t>不能與Kaggle無標籤test.csv混同</t>
  </si>
  <si>
    <t>02</t>
  </si>
  <si>
    <t>P2 EDA</t>
  </si>
  <si>
    <t>train_readable.csv</t>
  </si>
  <si>
    <t>僅training EDA、correlations、MI；提出H1–H3</t>
  </si>
  <si>
    <t>GarageType_2Types</t>
  </si>
  <si>
    <t>候選features／sets</t>
  </si>
  <si>
    <t>全training補值限制要揭露</t>
  </si>
  <si>
    <t>03</t>
  </si>
  <si>
    <t>P3 fixed 5-fold CV</t>
  </si>
  <si>
    <t>原始train.csv依data_split training Id篩選</t>
  </si>
  <si>
    <t>每折P1補值／mapping→選特徵／工程→數值Box-Cox／scale、類別one-hot</t>
  </si>
  <si>
    <t>GarageType_Attchd</t>
  </si>
  <si>
    <t>固定5fold tuning／CV</t>
  </si>
  <si>
    <t>03／05已核對fit／transform邊界</t>
  </si>
  <si>
    <t>04</t>
  </si>
  <si>
    <t>Model / feature comparison</t>
  </si>
  <si>
    <t>同folds；候選模型與集合</t>
  </si>
  <si>
    <t>Raw/log target、三層baseline；primary Ridge alpha10與tuned sensitivity</t>
  </si>
  <si>
    <t>GarageType_Basment</t>
  </si>
  <si>
    <t>選模／ablation證據</t>
  </si>
  <si>
    <t>CV為開發結果；不標nested CV</t>
  </si>
  <si>
    <t>05</t>
  </si>
  <si>
    <t>Freeze settings</t>
  </si>
  <si>
    <t>training CV與模型結構</t>
  </si>
  <si>
    <t>GarageType_BuiltIn</t>
  </si>
  <si>
    <t>EN + H1 + log1p；alpha=.00316227766；l1_ratio=.1</t>
  </si>
  <si>
    <t>模型／特徵／參數／15,000門檻</t>
  </si>
  <si>
    <t>04程式先freeze後載入test，含防重跑</t>
  </si>
  <si>
    <t>06</t>
  </si>
  <si>
    <t>Full-training refit</t>
  </si>
  <si>
    <t>GarageType_CarPort</t>
  </si>
  <si>
    <t>全部1,166 training</t>
  </si>
  <si>
    <t>重新fit既定pipeline；不以test估計轉換</t>
  </si>
  <si>
    <t>固定模型／training係數診斷</t>
  </si>
  <si>
    <t>含完整training 214 predictors</t>
  </si>
  <si>
    <t>07</t>
  </si>
  <si>
    <t>Held-out test</t>
  </si>
  <si>
    <t>292 test；已固定pipeline</t>
  </si>
  <si>
    <t>GarageType_Detchd</t>
  </si>
  <si>
    <t>預測後expm1；MAE/RMSE/R²、paired comparison、slices</t>
  </si>
  <si>
    <t>Test results / error cases</t>
  </si>
  <si>
    <t>程式順序符合文件；不保證所有歷史操作</t>
  </si>
  <si>
    <t>08</t>
  </si>
  <si>
    <t>I2 integration</t>
  </si>
  <si>
    <t>GarageType_None</t>
  </si>
  <si>
    <t>P1/P2/P3既有交付</t>
  </si>
  <si>
    <t>統一數值、units、caption、版本、main/supplementary</t>
  </si>
  <si>
    <t>Master / Paper / Slides / README</t>
  </si>
  <si>
    <t>補方法與來源，不重跑分析</t>
  </si>
  <si>
    <t>MiscFeature_Gar2</t>
  </si>
  <si>
    <t>MiscFeature_None</t>
  </si>
  <si>
    <t>方法來源：repo model/notebooks/03、05、04；data/README.md與data_split.csv。</t>
  </si>
  <si>
    <t>MiscFeature_Othr</t>
  </si>
  <si>
    <t>MiscFeature_Shed</t>
  </si>
  <si>
    <t>MiscFeature_TenC</t>
  </si>
  <si>
    <t>來源：coefficients_ci_pvalue_vif.csv；04 notebook；固定矩陣／參數，seed42，ddof=0；∞保留原意；不作因果推論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</si>
</sst>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0000"/>
    <numFmt numFmtId="165" formatCode="#,##0.00;-#,##0.00"/>
    <numFmt numFmtId="166" formatCode="0.0000"/>
    <numFmt numFmtId="167" formatCode="0.0000%"/>
    <numFmt numFmtId="168" formatCode="0.0000000000000000"/>
    <numFmt numFmtId="169" formatCode="0.0"/>
    <numFmt numFmtId="170" formatCode="0.000000"/>
  </numFmts>
  <fonts count="7">
    <font>
      <sz val="10.0"/>
      <color rgb="FF000000"/>
      <name val="Arial"/>
      <scheme val="minor"/>
    </font>
    <font>
      <color theme="1"/>
      <name val="Arial"/>
    </font>
    <font>
      <b/>
      <sz val="10.0"/>
      <color rgb="FF202124"/>
      <name val="Arial"/>
    </font>
    <font>
      <sz val="10.0"/>
      <color rgb="FF202124"/>
      <name val="Arial"/>
    </font>
    <font>
      <b/>
      <sz val="14.0"/>
      <color rgb="FF202124"/>
      <name val="Arial"/>
    </font>
    <font>
      <sz val="10.0"/>
      <color rgb="FF526171"/>
      <name val="Arial"/>
    </font>
    <font>
      <i/>
      <sz val="10.0"/>
      <color rgb="FF52617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1F3F4"/>
        <bgColor rgb="FFF1F3F4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B6BFC7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3" numFmtId="164" xfId="0" applyAlignment="1" applyFont="1" applyNumberFormat="1">
      <alignment shrinkToFit="0" vertical="center" wrapText="1"/>
    </xf>
    <xf borderId="0" fillId="3" fontId="1" numFmtId="0" xfId="0" applyAlignment="1" applyFill="1" applyFont="1">
      <alignment horizontal="center" vertical="center"/>
    </xf>
    <xf borderId="0" fillId="0" fontId="3" numFmtId="1" xfId="0" applyAlignment="1" applyFont="1" applyNumberFormat="1">
      <alignment shrinkToFit="0" vertical="center" wrapText="1"/>
    </xf>
    <xf borderId="0" fillId="0" fontId="3" numFmtId="165" xfId="0" applyAlignment="1" applyFont="1" applyNumberFormat="1">
      <alignment horizontal="right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0" fontId="3" numFmtId="165" xfId="0" applyAlignment="1" applyFont="1" applyNumberFormat="1">
      <alignment shrinkToFit="0" vertical="center" wrapText="1"/>
    </xf>
    <xf borderId="0" fillId="0" fontId="4" numFmtId="0" xfId="0" applyAlignment="1" applyFont="1">
      <alignment shrinkToFit="0" vertical="center" wrapText="0"/>
    </xf>
    <xf borderId="0" fillId="0" fontId="3" numFmtId="166" xfId="0" applyAlignment="1" applyFont="1" applyNumberFormat="1">
      <alignment horizontal="right" shrinkToFit="0" vertical="center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wrapText="1"/>
    </xf>
    <xf borderId="0" fillId="0" fontId="3" numFmtId="167" xfId="0" applyAlignment="1" applyFont="1" applyNumberFormat="1">
      <alignment horizontal="right" shrinkToFit="0" vertical="center" wrapText="1"/>
    </xf>
    <xf borderId="0" fillId="0" fontId="3" numFmtId="10" xfId="0" applyAlignment="1" applyFont="1" applyNumberFormat="1">
      <alignment horizontal="right" shrinkToFit="0" vertical="center" wrapText="1"/>
    </xf>
    <xf borderId="0" fillId="0" fontId="3" numFmtId="168" xfId="0" applyAlignment="1" applyFont="1" applyNumberFormat="1">
      <alignment shrinkToFit="0" vertical="center" wrapText="1"/>
    </xf>
    <xf borderId="0" fillId="0" fontId="3" numFmtId="169" xfId="0" applyAlignment="1" applyFont="1" applyNumberForma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0" fontId="3" numFmtId="166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3" numFmtId="169" xfId="0" applyAlignment="1" applyFont="1" applyNumberFormat="1">
      <alignment horizontal="right" shrinkToFit="0" vertical="center" wrapText="1"/>
    </xf>
    <xf borderId="0" fillId="0" fontId="3" numFmtId="170" xfId="0" applyAlignment="1" applyFont="1" applyNumberFormat="1">
      <alignment horizontal="right" shrinkToFit="0" vertical="center" wrapText="1"/>
    </xf>
    <xf borderId="0" fillId="0" fontId="3" numFmtId="2" xfId="0" applyAlignment="1" applyFont="1" applyNumberFormat="1">
      <alignment horizontal="right" shrinkToFit="0" vertical="center" wrapText="1"/>
    </xf>
    <xf borderId="0" fillId="0" fontId="1" numFmtId="0" xfId="0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1">
    <dxf>
      <font>
        <color rgb="FF875E15"/>
      </font>
      <fill>
        <patternFill patternType="solid">
          <fgColor rgb="FFFFF4D7"/>
          <bgColor rgb="FFFFF4D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38.0"/>
    <col customWidth="1" min="3" max="3" width="42.25"/>
    <col customWidth="1" min="4" max="6" width="12.63"/>
  </cols>
  <sheetData>
    <row r="1" ht="15.75" customHeight="1">
      <c r="A1" s="1" t="s">
        <v>1</v>
      </c>
      <c r="B1" s="1" t="s">
        <v>2</v>
      </c>
      <c r="C1" s="1" t="s">
        <v>3</v>
      </c>
    </row>
    <row r="2" ht="15.75" customHeight="1">
      <c r="A2" s="1" t="s">
        <v>4</v>
      </c>
      <c r="B2" s="1" t="s">
        <v>5</v>
      </c>
      <c r="C2" s="1" t="s">
        <v>6</v>
      </c>
    </row>
    <row r="3" ht="15.75" customHeight="1">
      <c r="A3" s="1" t="s">
        <v>7</v>
      </c>
      <c r="B3" s="1" t="s">
        <v>8</v>
      </c>
      <c r="C3" s="1" t="s">
        <v>9</v>
      </c>
    </row>
    <row r="4" ht="15.75" customHeight="1">
      <c r="A4" s="1" t="s">
        <v>11</v>
      </c>
      <c r="B4" s="1">
        <v>1460.0</v>
      </c>
      <c r="C4" s="1" t="s">
        <v>13</v>
      </c>
    </row>
    <row r="5" ht="15.75" customHeight="1">
      <c r="A5" s="1" t="s">
        <v>18</v>
      </c>
      <c r="B5" s="1">
        <v>81.0</v>
      </c>
      <c r="C5" s="1" t="s">
        <v>19</v>
      </c>
    </row>
    <row r="6" ht="15.75" customHeight="1">
      <c r="A6" s="1" t="s">
        <v>20</v>
      </c>
      <c r="B6" s="1">
        <v>1166.0</v>
      </c>
      <c r="C6" s="1" t="s">
        <v>21</v>
      </c>
    </row>
    <row r="7" ht="15.75" customHeight="1">
      <c r="A7" s="1" t="s">
        <v>22</v>
      </c>
      <c r="B7" s="1">
        <v>292.0</v>
      </c>
      <c r="C7" s="1" t="s">
        <v>23</v>
      </c>
    </row>
    <row r="8" ht="60.0" customHeight="1">
      <c r="A8" s="4" t="s">
        <v>24</v>
      </c>
      <c r="B8" s="5">
        <v>213.0</v>
      </c>
      <c r="C8" s="6" t="s">
        <v>25</v>
      </c>
    </row>
    <row r="9" ht="15.75" customHeight="1">
      <c r="A9" s="1" t="s">
        <v>26</v>
      </c>
      <c r="B9" s="1" t="s">
        <v>27</v>
      </c>
      <c r="C9" s="7" t="s">
        <v>28</v>
      </c>
    </row>
    <row r="10" ht="15.75" customHeight="1">
      <c r="A10" s="1" t="s">
        <v>29</v>
      </c>
      <c r="B10" s="1" t="s">
        <v>30</v>
      </c>
      <c r="C10" s="1"/>
    </row>
    <row r="11" ht="15.75" customHeight="1">
      <c r="A11" s="1" t="s">
        <v>33</v>
      </c>
      <c r="B11" s="1">
        <v>2.0</v>
      </c>
      <c r="C11" s="1" t="s">
        <v>34</v>
      </c>
    </row>
    <row r="12" ht="39.75" customHeight="1">
      <c r="A12" s="9" t="s">
        <v>35</v>
      </c>
      <c r="B12" s="9" t="str">
        <f>Preprocessing!B13</f>
        <v>log1p(SalePrice)</v>
      </c>
      <c r="C12" s="12" t="s">
        <v>78</v>
      </c>
    </row>
    <row r="13" ht="15.75" customHeight="1">
      <c r="A13" s="1" t="s">
        <v>89</v>
      </c>
      <c r="B13" s="7" t="s">
        <v>91</v>
      </c>
      <c r="C13" s="1" t="s">
        <v>94</v>
      </c>
    </row>
    <row r="14" ht="15.75" customHeight="1">
      <c r="A14" s="1" t="s">
        <v>96</v>
      </c>
      <c r="B14" s="1">
        <v>22.0</v>
      </c>
      <c r="C14" s="1" t="s">
        <v>100</v>
      </c>
    </row>
    <row r="15" ht="15.75" customHeight="1">
      <c r="A15" s="1" t="s">
        <v>102</v>
      </c>
      <c r="B15" s="1">
        <v>19.0</v>
      </c>
      <c r="C15" s="1" t="s">
        <v>104</v>
      </c>
    </row>
    <row r="16" ht="15.75" customHeight="1">
      <c r="A16" s="1" t="s">
        <v>106</v>
      </c>
      <c r="B16" s="1">
        <v>35.0</v>
      </c>
      <c r="C16" s="1" t="s">
        <v>108</v>
      </c>
    </row>
    <row r="17" ht="15.75" customHeight="1">
      <c r="A17" s="1" t="s">
        <v>110</v>
      </c>
      <c r="B17" s="1">
        <v>54.0</v>
      </c>
      <c r="C17" s="1" t="s">
        <v>113</v>
      </c>
    </row>
    <row r="18" ht="43.5" customHeight="1">
      <c r="A18" s="5" t="s">
        <v>115</v>
      </c>
      <c r="B18" s="1" t="s">
        <v>116</v>
      </c>
      <c r="C18" s="18" t="s">
        <v>118</v>
      </c>
    </row>
    <row r="19" ht="15.75" customHeight="1"/>
    <row r="20" ht="15.75" customHeight="1"/>
    <row r="21" ht="15.75" customHeight="1">
      <c r="A21" s="1"/>
      <c r="B21" s="1"/>
      <c r="C21" s="1"/>
    </row>
    <row r="22" ht="60.0" customHeight="1">
      <c r="A22" s="5" t="s">
        <v>129</v>
      </c>
      <c r="B22" s="5" t="s">
        <v>131</v>
      </c>
      <c r="C22" s="6" t="s">
        <v>134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30.0"/>
    <col customWidth="1" min="3" max="3" width="64.0"/>
    <col customWidth="1" min="4" max="4" width="22.0"/>
    <col customWidth="1" min="5" max="5" width="48.0"/>
    <col customWidth="1" min="6" max="6" width="27.0"/>
  </cols>
  <sheetData>
    <row r="1" ht="31.5" customHeight="1">
      <c r="A1" s="2" t="s">
        <v>0</v>
      </c>
      <c r="B1" s="2" t="s">
        <v>10</v>
      </c>
      <c r="C1" s="2" t="s">
        <v>12</v>
      </c>
      <c r="D1" s="2" t="s">
        <v>14</v>
      </c>
      <c r="E1" s="2" t="s">
        <v>15</v>
      </c>
      <c r="F1" s="2" t="s">
        <v>16</v>
      </c>
    </row>
    <row r="2" ht="61.5" customHeight="1">
      <c r="A2" s="3" t="s">
        <v>17</v>
      </c>
      <c r="B2" s="3" t="s">
        <v>31</v>
      </c>
      <c r="C2" s="3" t="s">
        <v>32</v>
      </c>
      <c r="D2" s="8">
        <v>0.12</v>
      </c>
      <c r="E2" s="3" t="s">
        <v>37</v>
      </c>
      <c r="F2" s="3" t="s">
        <v>38</v>
      </c>
    </row>
    <row r="3" ht="61.5" customHeight="1">
      <c r="A3" s="3" t="s">
        <v>40</v>
      </c>
      <c r="B3" s="3" t="s">
        <v>41</v>
      </c>
      <c r="C3" s="3" t="s">
        <v>42</v>
      </c>
      <c r="D3" s="8">
        <v>0.8133043046948176</v>
      </c>
      <c r="E3" s="3" t="s">
        <v>44</v>
      </c>
      <c r="F3" s="3" t="s">
        <v>38</v>
      </c>
    </row>
    <row r="4" ht="61.5" customHeight="1">
      <c r="A4" s="3" t="s">
        <v>46</v>
      </c>
      <c r="B4" s="3" t="s">
        <v>47</v>
      </c>
      <c r="C4" s="3" t="s">
        <v>49</v>
      </c>
      <c r="D4" s="8">
        <v>0.8358741288932506</v>
      </c>
      <c r="E4" s="3" t="s">
        <v>51</v>
      </c>
      <c r="F4" s="3" t="s">
        <v>38</v>
      </c>
    </row>
    <row r="5" ht="61.5" customHeight="1">
      <c r="A5" s="3" t="s">
        <v>53</v>
      </c>
      <c r="B5" s="3" t="s">
        <v>54</v>
      </c>
      <c r="C5" s="3" t="s">
        <v>56</v>
      </c>
      <c r="D5" s="8">
        <v>0.8496146396833982</v>
      </c>
      <c r="E5" s="3" t="s">
        <v>51</v>
      </c>
      <c r="F5" s="3" t="s">
        <v>38</v>
      </c>
    </row>
    <row r="6" ht="61.5" customHeight="1">
      <c r="A6" s="3" t="s">
        <v>58</v>
      </c>
      <c r="B6" s="3" t="s">
        <v>59</v>
      </c>
      <c r="C6" s="3" t="s">
        <v>60</v>
      </c>
      <c r="D6" s="8">
        <v>0.544245827991503</v>
      </c>
      <c r="E6" s="3" t="s">
        <v>61</v>
      </c>
      <c r="F6" s="3" t="s">
        <v>38</v>
      </c>
    </row>
    <row r="7" ht="61.5" customHeight="1">
      <c r="A7" s="3" t="s">
        <v>62</v>
      </c>
      <c r="B7" s="3" t="s">
        <v>63</v>
      </c>
      <c r="C7" s="3" t="s">
        <v>65</v>
      </c>
      <c r="D7" s="10">
        <v>3.0</v>
      </c>
      <c r="E7" s="3" t="s">
        <v>69</v>
      </c>
      <c r="F7" s="3" t="s">
        <v>38</v>
      </c>
    </row>
    <row r="8" ht="61.5" customHeight="1">
      <c r="A8" s="3" t="s">
        <v>70</v>
      </c>
      <c r="B8" s="3" t="s">
        <v>71</v>
      </c>
      <c r="C8" s="3" t="s">
        <v>72</v>
      </c>
      <c r="D8" s="8">
        <v>0.8221655232888594</v>
      </c>
      <c r="E8" s="3" t="s">
        <v>73</v>
      </c>
      <c r="F8" s="3" t="s">
        <v>38</v>
      </c>
    </row>
    <row r="9" ht="61.5" customHeight="1">
      <c r="A9" s="3" t="s">
        <v>75</v>
      </c>
      <c r="B9" s="3" t="s">
        <v>76</v>
      </c>
      <c r="C9" s="3" t="s">
        <v>77</v>
      </c>
      <c r="D9" s="13">
        <v>-1222.361717479243</v>
      </c>
      <c r="E9" s="3" t="s">
        <v>79</v>
      </c>
      <c r="F9" s="3" t="s">
        <v>80</v>
      </c>
    </row>
    <row r="10" ht="61.5" customHeight="1">
      <c r="A10" s="3" t="s">
        <v>81</v>
      </c>
      <c r="B10" s="3" t="s">
        <v>82</v>
      </c>
      <c r="C10" s="3" t="s">
        <v>83</v>
      </c>
      <c r="D10" s="13">
        <v>-240.57297916875686</v>
      </c>
      <c r="E10" s="3" t="s">
        <v>84</v>
      </c>
      <c r="F10" s="3" t="s">
        <v>80</v>
      </c>
    </row>
    <row r="11" ht="61.5" customHeight="1">
      <c r="A11" s="3" t="s">
        <v>86</v>
      </c>
      <c r="B11" s="3" t="s">
        <v>87</v>
      </c>
      <c r="C11" s="3" t="s">
        <v>90</v>
      </c>
      <c r="D11" s="13">
        <v>-235.09602415759437</v>
      </c>
      <c r="E11" s="3" t="s">
        <v>92</v>
      </c>
      <c r="F11" s="3" t="s">
        <v>80</v>
      </c>
    </row>
    <row r="12" ht="15.75" customHeight="1"/>
    <row r="13" ht="15.75" customHeight="1">
      <c r="A13" s="16" t="s">
        <v>97</v>
      </c>
    </row>
    <row r="14" ht="15.75" customHeight="1">
      <c r="A14" s="16" t="s">
        <v>103</v>
      </c>
    </row>
    <row r="15" ht="15.75" customHeight="1">
      <c r="A15" s="16" t="s">
        <v>105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27.0"/>
    <col customWidth="1" min="3" max="4" width="23.0"/>
    <col customWidth="1" min="5" max="6" width="17.0"/>
    <col customWidth="1" min="7" max="7" width="18.0"/>
    <col customWidth="1" min="8" max="8" width="17.0"/>
    <col customWidth="1" min="9" max="10" width="16.0"/>
    <col customWidth="1" min="11" max="11" width="52.0"/>
    <col customWidth="1" min="12" max="12" width="48.0"/>
    <col customWidth="1" min="13" max="13" width="17.0"/>
    <col customWidth="1" min="14" max="14" width="58.0"/>
  </cols>
  <sheetData>
    <row r="1" ht="31.5" customHeight="1">
      <c r="A1" s="2" t="s">
        <v>0</v>
      </c>
      <c r="B1" s="2" t="s">
        <v>36</v>
      </c>
      <c r="C1" s="2" t="s">
        <v>39</v>
      </c>
      <c r="D1" s="2" t="s">
        <v>35</v>
      </c>
      <c r="E1" s="2" t="s">
        <v>43</v>
      </c>
      <c r="F1" s="2" t="s">
        <v>45</v>
      </c>
      <c r="G1" s="2" t="s">
        <v>48</v>
      </c>
      <c r="H1" s="2" t="s">
        <v>50</v>
      </c>
      <c r="I1" s="2" t="s">
        <v>52</v>
      </c>
      <c r="J1" s="2" t="s">
        <v>55</v>
      </c>
      <c r="K1" s="2" t="s">
        <v>57</v>
      </c>
      <c r="L1" s="2" t="s">
        <v>15</v>
      </c>
      <c r="M1" s="2" t="s">
        <v>16</v>
      </c>
      <c r="N1" s="2" t="s">
        <v>3</v>
      </c>
    </row>
    <row r="2" ht="57.75" customHeight="1">
      <c r="A2" s="3" t="s">
        <v>64</v>
      </c>
      <c r="B2" s="3" t="s">
        <v>66</v>
      </c>
      <c r="C2" s="3" t="s">
        <v>67</v>
      </c>
      <c r="D2" s="3" t="s">
        <v>68</v>
      </c>
      <c r="E2" s="11">
        <v>56391.60494683102</v>
      </c>
      <c r="F2" s="11">
        <v>1243.708910128986</v>
      </c>
      <c r="G2" s="11">
        <v>77190.34424604732</v>
      </c>
      <c r="H2" s="11">
        <v>4334.058635602764</v>
      </c>
      <c r="I2" s="15">
        <v>-5.617138603490002E-4</v>
      </c>
      <c r="J2" s="15">
        <v>6.721267552782601E-4</v>
      </c>
      <c r="K2" s="3" t="s">
        <v>85</v>
      </c>
      <c r="L2" s="3" t="s">
        <v>88</v>
      </c>
      <c r="M2" s="3" t="s">
        <v>38</v>
      </c>
      <c r="N2" s="3" t="s">
        <v>93</v>
      </c>
    </row>
    <row r="3" ht="57.75" customHeight="1">
      <c r="A3" s="3" t="s">
        <v>95</v>
      </c>
      <c r="B3" s="3" t="s">
        <v>98</v>
      </c>
      <c r="C3" s="3" t="s">
        <v>101</v>
      </c>
      <c r="D3" s="3" t="s">
        <v>68</v>
      </c>
      <c r="E3" s="11">
        <v>37159.831024158266</v>
      </c>
      <c r="F3" s="11">
        <v>2294.9060078027237</v>
      </c>
      <c r="G3" s="11">
        <v>53091.63772754186</v>
      </c>
      <c r="H3" s="11">
        <v>2645.2721188549435</v>
      </c>
      <c r="I3" s="15">
        <v>0.5210277645279927</v>
      </c>
      <c r="J3" s="15">
        <v>0.07387295040174907</v>
      </c>
      <c r="K3" s="3" t="s">
        <v>85</v>
      </c>
      <c r="L3" s="3" t="s">
        <v>88</v>
      </c>
      <c r="M3" s="3" t="s">
        <v>38</v>
      </c>
      <c r="N3" s="3" t="s">
        <v>107</v>
      </c>
    </row>
    <row r="4" ht="57.75" customHeight="1">
      <c r="A4" s="3" t="s">
        <v>109</v>
      </c>
      <c r="B4" s="3" t="s">
        <v>111</v>
      </c>
      <c r="C4" s="3" t="s">
        <v>112</v>
      </c>
      <c r="D4" s="3" t="s">
        <v>114</v>
      </c>
      <c r="E4" s="11">
        <v>14958.181062457748</v>
      </c>
      <c r="F4" s="11">
        <v>561.441991066028</v>
      </c>
      <c r="G4" s="11">
        <v>24299.155468542634</v>
      </c>
      <c r="H4" s="11">
        <v>3540.325758177512</v>
      </c>
      <c r="I4" s="15">
        <v>0.8995725718857385</v>
      </c>
      <c r="J4" s="15">
        <v>0.024240796168423326</v>
      </c>
      <c r="K4" s="3" t="s">
        <v>85</v>
      </c>
      <c r="L4" s="3" t="s">
        <v>88</v>
      </c>
      <c r="M4" s="3" t="s">
        <v>38</v>
      </c>
      <c r="N4" s="3" t="s">
        <v>119</v>
      </c>
    </row>
    <row r="5" ht="57.75" customHeight="1">
      <c r="A5" s="3" t="s">
        <v>122</v>
      </c>
      <c r="B5" s="3" t="s">
        <v>124</v>
      </c>
      <c r="C5" s="3" t="s">
        <v>112</v>
      </c>
      <c r="D5" s="3" t="s">
        <v>114</v>
      </c>
      <c r="E5" s="11">
        <v>13818.59708471543</v>
      </c>
      <c r="F5" s="11">
        <v>835.0374959683469</v>
      </c>
      <c r="G5" s="11">
        <v>21399.661031909192</v>
      </c>
      <c r="H5" s="11">
        <v>3168.762777688568</v>
      </c>
      <c r="I5" s="15">
        <v>0.9230847759274161</v>
      </c>
      <c r="J5" s="15">
        <v>0.015101510015459488</v>
      </c>
      <c r="K5" s="3" t="s">
        <v>132</v>
      </c>
      <c r="L5" s="3" t="s">
        <v>88</v>
      </c>
      <c r="M5" s="3" t="s">
        <v>38</v>
      </c>
      <c r="N5" s="3" t="s">
        <v>136</v>
      </c>
    </row>
    <row r="6" ht="57.75" customHeight="1">
      <c r="A6" s="3" t="s">
        <v>138</v>
      </c>
      <c r="B6" s="3" t="s">
        <v>140</v>
      </c>
      <c r="C6" s="3" t="s">
        <v>112</v>
      </c>
      <c r="D6" s="3" t="s">
        <v>114</v>
      </c>
      <c r="E6" s="11">
        <v>13745.583714336015</v>
      </c>
      <c r="F6" s="11">
        <v>841.379280946</v>
      </c>
      <c r="G6" s="11">
        <v>21335.693580469244</v>
      </c>
      <c r="H6" s="11">
        <v>3253.478433022086</v>
      </c>
      <c r="I6" s="15">
        <v>0.9235227844020784</v>
      </c>
      <c r="J6" s="15">
        <v>0.015647499654262598</v>
      </c>
      <c r="K6" s="3" t="s">
        <v>144</v>
      </c>
      <c r="L6" s="3" t="s">
        <v>88</v>
      </c>
      <c r="M6" s="3" t="s">
        <v>38</v>
      </c>
      <c r="N6" s="3" t="s">
        <v>146</v>
      </c>
    </row>
    <row r="7" ht="57.75" customHeight="1">
      <c r="A7" s="3" t="s">
        <v>147</v>
      </c>
      <c r="B7" s="3" t="s">
        <v>148</v>
      </c>
      <c r="C7" s="3" t="s">
        <v>112</v>
      </c>
      <c r="D7" s="3" t="s">
        <v>114</v>
      </c>
      <c r="E7" s="11">
        <v>13749.643116493095</v>
      </c>
      <c r="F7" s="11">
        <v>826.7931447371741</v>
      </c>
      <c r="G7" s="11">
        <v>21376.418268549758</v>
      </c>
      <c r="H7" s="11">
        <v>3271.0720143999242</v>
      </c>
      <c r="I7" s="15">
        <v>0.9232223348990829</v>
      </c>
      <c r="J7" s="15">
        <v>0.0158081186987799</v>
      </c>
      <c r="K7" s="3" t="s">
        <v>149</v>
      </c>
      <c r="L7" s="3" t="s">
        <v>88</v>
      </c>
      <c r="M7" s="3" t="s">
        <v>38</v>
      </c>
      <c r="N7" s="3" t="s">
        <v>150</v>
      </c>
    </row>
    <row r="8" ht="57.75" customHeight="1">
      <c r="A8" s="3" t="s">
        <v>151</v>
      </c>
      <c r="B8" s="3" t="s">
        <v>152</v>
      </c>
      <c r="C8" s="3" t="s">
        <v>145</v>
      </c>
      <c r="D8" s="3" t="s">
        <v>114</v>
      </c>
      <c r="E8" s="11">
        <v>13450.266318411384</v>
      </c>
      <c r="F8" s="11">
        <v>805.3988542639717</v>
      </c>
      <c r="G8" s="11">
        <v>20177.299314429954</v>
      </c>
      <c r="H8" s="11">
        <v>2298.493822480681</v>
      </c>
      <c r="I8" s="15">
        <v>0.9317114574553844</v>
      </c>
      <c r="J8" s="15">
        <v>0.0092514303790449</v>
      </c>
      <c r="K8" s="3" t="s">
        <v>155</v>
      </c>
      <c r="L8" s="3" t="s">
        <v>157</v>
      </c>
      <c r="M8" s="3" t="s">
        <v>38</v>
      </c>
      <c r="N8" s="3" t="s">
        <v>159</v>
      </c>
    </row>
    <row r="9" ht="57.75" customHeight="1">
      <c r="A9" s="3" t="s">
        <v>161</v>
      </c>
      <c r="B9" s="3" t="s">
        <v>162</v>
      </c>
      <c r="C9" s="3" t="s">
        <v>112</v>
      </c>
      <c r="D9" s="3" t="s">
        <v>68</v>
      </c>
      <c r="E9" s="11">
        <v>16554.343985972868</v>
      </c>
      <c r="F9" s="11">
        <v>958.0994607198643</v>
      </c>
      <c r="G9" s="11">
        <v>26107.29258722456</v>
      </c>
      <c r="H9" s="11">
        <v>2431.402748215474</v>
      </c>
      <c r="I9" s="15">
        <v>0.8851980969629446</v>
      </c>
      <c r="J9" s="15">
        <v>0.014703865119424975</v>
      </c>
      <c r="K9" s="3" t="s">
        <v>164</v>
      </c>
      <c r="L9" s="3" t="s">
        <v>88</v>
      </c>
      <c r="M9" s="3" t="s">
        <v>38</v>
      </c>
      <c r="N9" s="3" t="s">
        <v>165</v>
      </c>
    </row>
    <row r="10" ht="15.75" customHeight="1"/>
    <row r="11" ht="15.75" customHeight="1">
      <c r="A11" s="16" t="s">
        <v>167</v>
      </c>
    </row>
    <row r="12" ht="15.75" customHeight="1">
      <c r="A12" s="16" t="s">
        <v>169</v>
      </c>
    </row>
    <row r="13" ht="15.75" customHeight="1">
      <c r="A13" s="16" t="s">
        <v>170</v>
      </c>
    </row>
    <row r="14" ht="31.5" customHeight="1">
      <c r="A14" s="2" t="s">
        <v>0</v>
      </c>
      <c r="B14" s="2" t="s">
        <v>36</v>
      </c>
      <c r="C14" s="2" t="s">
        <v>39</v>
      </c>
      <c r="D14" s="2" t="s">
        <v>35</v>
      </c>
      <c r="E14" s="2" t="s">
        <v>43</v>
      </c>
      <c r="F14" s="2" t="s">
        <v>45</v>
      </c>
      <c r="G14" s="2" t="s">
        <v>48</v>
      </c>
      <c r="H14" s="2" t="s">
        <v>50</v>
      </c>
      <c r="I14" s="2" t="s">
        <v>52</v>
      </c>
      <c r="J14" s="2" t="s">
        <v>55</v>
      </c>
      <c r="K14" s="2" t="s">
        <v>57</v>
      </c>
      <c r="L14" s="2" t="s">
        <v>15</v>
      </c>
      <c r="M14" s="2" t="s">
        <v>16</v>
      </c>
      <c r="N14" s="2" t="s">
        <v>3</v>
      </c>
    </row>
    <row r="15" ht="57.75" customHeight="1">
      <c r="A15" s="3" t="s">
        <v>174</v>
      </c>
      <c r="B15" s="3" t="s">
        <v>124</v>
      </c>
      <c r="C15" s="3" t="s">
        <v>145</v>
      </c>
      <c r="D15" s="3" t="s">
        <v>114</v>
      </c>
      <c r="E15" s="11">
        <v>13450.266318411384</v>
      </c>
      <c r="F15" s="11">
        <v>805.3988542639717</v>
      </c>
      <c r="G15" s="11">
        <v>20177.299314429954</v>
      </c>
      <c r="H15" s="11">
        <v>2298.493822480681</v>
      </c>
      <c r="I15" s="15">
        <v>0.9317114574553844</v>
      </c>
      <c r="J15" s="15">
        <v>0.0092514303790449</v>
      </c>
      <c r="K15" s="3" t="s">
        <v>155</v>
      </c>
      <c r="L15" s="3" t="s">
        <v>157</v>
      </c>
      <c r="M15" s="3" t="s">
        <v>38</v>
      </c>
      <c r="N15" s="3" t="s">
        <v>176</v>
      </c>
    </row>
    <row r="16" ht="57.75" customHeight="1">
      <c r="A16" s="3" t="s">
        <v>177</v>
      </c>
      <c r="B16" s="3" t="s">
        <v>140</v>
      </c>
      <c r="C16" s="3" t="s">
        <v>145</v>
      </c>
      <c r="D16" s="3" t="s">
        <v>114</v>
      </c>
      <c r="E16" s="11">
        <v>13360.805878640667</v>
      </c>
      <c r="F16" s="11">
        <v>763.1588920761751</v>
      </c>
      <c r="G16" s="11">
        <v>19945.94957310633</v>
      </c>
      <c r="H16" s="11">
        <v>2265.001744143447</v>
      </c>
      <c r="I16" s="15">
        <v>0.9332482249227904</v>
      </c>
      <c r="J16" s="15">
        <v>0.0092428580600673</v>
      </c>
      <c r="K16" s="3" t="s">
        <v>180</v>
      </c>
      <c r="L16" s="3" t="s">
        <v>157</v>
      </c>
      <c r="M16" s="3" t="s">
        <v>38</v>
      </c>
      <c r="N16" s="3" t="s">
        <v>176</v>
      </c>
    </row>
    <row r="17" ht="57.75" customHeight="1">
      <c r="A17" s="3" t="s">
        <v>182</v>
      </c>
      <c r="B17" s="3" t="s">
        <v>183</v>
      </c>
      <c r="C17" s="3" t="s">
        <v>145</v>
      </c>
      <c r="D17" s="3" t="s">
        <v>114</v>
      </c>
      <c r="E17" s="11">
        <v>13366.059101396511</v>
      </c>
      <c r="F17" s="11">
        <v>809.2747819386045</v>
      </c>
      <c r="G17" s="11">
        <v>19925.102849451247</v>
      </c>
      <c r="H17" s="11">
        <v>2274.1515788097245</v>
      </c>
      <c r="I17" s="15">
        <v>0.9333673930850064</v>
      </c>
      <c r="J17" s="15">
        <v>0.0094660975621112</v>
      </c>
      <c r="K17" s="3" t="s">
        <v>184</v>
      </c>
      <c r="L17" s="3" t="s">
        <v>157</v>
      </c>
      <c r="M17" s="3" t="s">
        <v>38</v>
      </c>
      <c r="N17" s="3" t="s">
        <v>185</v>
      </c>
    </row>
    <row r="18" ht="15.75" customHeight="1"/>
    <row r="19" ht="15.75" customHeight="1"/>
    <row r="20" ht="15.75" customHeight="1">
      <c r="A20" s="16" t="s">
        <v>186</v>
      </c>
    </row>
    <row r="21" ht="15.75" customHeight="1"/>
    <row r="22" ht="31.5" customHeight="1">
      <c r="A22" s="2" t="s">
        <v>36</v>
      </c>
      <c r="B22" s="2" t="s">
        <v>35</v>
      </c>
      <c r="C22" s="2" t="s">
        <v>187</v>
      </c>
      <c r="D22" s="2" t="s">
        <v>188</v>
      </c>
      <c r="E22" s="2" t="s">
        <v>189</v>
      </c>
      <c r="F22" s="2" t="s">
        <v>190</v>
      </c>
      <c r="G22" s="2" t="s">
        <v>191</v>
      </c>
      <c r="H22" s="2" t="s">
        <v>192</v>
      </c>
      <c r="I22" s="2" t="s">
        <v>193</v>
      </c>
      <c r="J22" s="2" t="s">
        <v>194</v>
      </c>
    </row>
    <row r="23" ht="33.75" customHeight="1">
      <c r="A23" s="3" t="s">
        <v>195</v>
      </c>
      <c r="B23" s="3" t="s">
        <v>196</v>
      </c>
      <c r="C23" s="11">
        <v>56391.60494683102</v>
      </c>
      <c r="D23" s="11">
        <v>1243.708910128986</v>
      </c>
      <c r="E23" s="11">
        <v>77190.34424604732</v>
      </c>
      <c r="F23" s="11">
        <v>4334.058635602764</v>
      </c>
      <c r="G23" s="11">
        <v>62580.40017975047</v>
      </c>
      <c r="H23" s="11">
        <v>87619.49766694316</v>
      </c>
      <c r="I23" s="15">
        <v>-8.930733889664921E-4</v>
      </c>
      <c r="J23" s="3" t="s">
        <v>153</v>
      </c>
    </row>
    <row r="24" ht="33.75" customHeight="1">
      <c r="A24" s="3" t="s">
        <v>197</v>
      </c>
      <c r="B24" s="3" t="s">
        <v>196</v>
      </c>
      <c r="C24" s="11">
        <v>37159.831024158266</v>
      </c>
      <c r="D24" s="11">
        <v>2294.906007802724</v>
      </c>
      <c r="E24" s="11">
        <v>53091.63772754186</v>
      </c>
      <c r="F24" s="11">
        <v>2645.2721188549435</v>
      </c>
      <c r="G24" s="11">
        <v>38473.84499049466</v>
      </c>
      <c r="H24" s="11">
        <v>57594.46306606296</v>
      </c>
      <c r="I24" s="15">
        <v>0.5675383176324451</v>
      </c>
      <c r="J24" s="3" t="s">
        <v>153</v>
      </c>
    </row>
    <row r="25" ht="33.75" customHeight="1">
      <c r="A25" s="3" t="s">
        <v>198</v>
      </c>
      <c r="B25" s="3" t="s">
        <v>196</v>
      </c>
      <c r="C25" s="11">
        <v>16554.343985972868</v>
      </c>
      <c r="D25" s="11">
        <v>958.0994607198644</v>
      </c>
      <c r="E25" s="11">
        <v>26107.29258722456</v>
      </c>
      <c r="F25" s="11">
        <v>2431.402748215474</v>
      </c>
      <c r="G25" s="11">
        <v>16383.850547945207</v>
      </c>
      <c r="H25" s="11">
        <v>27017.92908851353</v>
      </c>
      <c r="I25" s="15">
        <v>0.904832145007345</v>
      </c>
      <c r="J25" s="3" t="s">
        <v>153</v>
      </c>
    </row>
    <row r="26" ht="33.75" customHeight="1">
      <c r="A26" s="3" t="s">
        <v>183</v>
      </c>
      <c r="B26" s="3" t="s">
        <v>199</v>
      </c>
      <c r="C26" s="11">
        <v>13366.059101396511</v>
      </c>
      <c r="D26" s="11">
        <v>809.2747819386045</v>
      </c>
      <c r="E26" s="11">
        <v>19925.102849451247</v>
      </c>
      <c r="F26" s="11">
        <v>2274.1515788097245</v>
      </c>
      <c r="G26" s="11">
        <v>14422.737460442455</v>
      </c>
      <c r="H26" s="11">
        <v>22340.04290068785</v>
      </c>
      <c r="I26" s="15">
        <v>0.9349339906382422</v>
      </c>
      <c r="J26" s="3" t="s">
        <v>154</v>
      </c>
    </row>
    <row r="27" ht="15.75" customHeight="1"/>
    <row r="28" ht="15.75" customHeight="1">
      <c r="A28" s="16" t="s">
        <v>200</v>
      </c>
    </row>
    <row r="29" ht="15.75" customHeight="1"/>
    <row r="30" ht="31.5" customHeight="1">
      <c r="A30" s="2" t="s">
        <v>201</v>
      </c>
      <c r="B30" s="2" t="s">
        <v>2</v>
      </c>
      <c r="C30" s="2" t="s">
        <v>3</v>
      </c>
    </row>
    <row r="31" ht="42.0" customHeight="1">
      <c r="A31" s="3" t="s">
        <v>36</v>
      </c>
      <c r="B31" s="3" t="s">
        <v>183</v>
      </c>
      <c r="C31" s="3" t="s">
        <v>202</v>
      </c>
    </row>
    <row r="32" ht="42.0" customHeight="1">
      <c r="A32" s="3" t="s">
        <v>203</v>
      </c>
      <c r="B32" s="3" t="s">
        <v>145</v>
      </c>
      <c r="C32" s="3" t="s">
        <v>204</v>
      </c>
    </row>
    <row r="33" ht="42.0" customHeight="1">
      <c r="A33" s="3" t="s">
        <v>35</v>
      </c>
      <c r="B33" s="3" t="s">
        <v>114</v>
      </c>
      <c r="C33" s="3" t="s">
        <v>205</v>
      </c>
    </row>
    <row r="34" ht="42.0" customHeight="1">
      <c r="A34" s="3" t="s">
        <v>206</v>
      </c>
      <c r="B34" s="21">
        <v>0.0031622776601683794</v>
      </c>
      <c r="C34" s="3" t="s">
        <v>207</v>
      </c>
    </row>
    <row r="35" ht="42.0" customHeight="1">
      <c r="A35" s="3" t="s">
        <v>208</v>
      </c>
      <c r="B35" s="22">
        <v>0.1</v>
      </c>
      <c r="C35" s="3" t="s">
        <v>207</v>
      </c>
    </row>
    <row r="36" ht="42.0" customHeight="1">
      <c r="A36" s="3" t="s">
        <v>209</v>
      </c>
      <c r="B36" s="3">
        <v>292.0</v>
      </c>
      <c r="C36" s="3" t="s">
        <v>210</v>
      </c>
    </row>
    <row r="37" ht="42.0" customHeight="1">
      <c r="A37" s="3" t="s">
        <v>211</v>
      </c>
      <c r="B37" s="13">
        <v>15000.0</v>
      </c>
      <c r="C37" s="3" t="s">
        <v>212</v>
      </c>
    </row>
    <row r="38" ht="42.0" customHeight="1">
      <c r="A38" s="3" t="s">
        <v>213</v>
      </c>
      <c r="B38" s="13">
        <f>E17+2*F17</f>
        <v>14984.60867</v>
      </c>
      <c r="C38" s="3" t="s">
        <v>214</v>
      </c>
    </row>
    <row r="39" ht="15.75" customHeight="1"/>
    <row r="40" ht="15.75" customHeight="1"/>
    <row r="41" ht="15.75" customHeight="1"/>
    <row r="42" ht="15.75" customHeight="1"/>
    <row r="43" ht="15.75" customHeight="1">
      <c r="A43" s="16" t="s">
        <v>215</v>
      </c>
    </row>
    <row r="44" ht="15.75" customHeight="1"/>
    <row r="45" ht="31.5" customHeight="1">
      <c r="A45" s="2" t="s">
        <v>0</v>
      </c>
      <c r="B45" s="2" t="s">
        <v>36</v>
      </c>
      <c r="C45" s="2" t="s">
        <v>39</v>
      </c>
      <c r="D45" s="2" t="s">
        <v>35</v>
      </c>
      <c r="E45" s="2" t="s">
        <v>43</v>
      </c>
      <c r="F45" s="2" t="s">
        <v>45</v>
      </c>
      <c r="G45" s="2" t="s">
        <v>48</v>
      </c>
      <c r="H45" s="2" t="s">
        <v>50</v>
      </c>
      <c r="I45" s="2" t="s">
        <v>52</v>
      </c>
      <c r="J45" s="2" t="s">
        <v>55</v>
      </c>
      <c r="K45" s="2" t="s">
        <v>57</v>
      </c>
      <c r="L45" s="2" t="s">
        <v>15</v>
      </c>
      <c r="M45" s="2" t="s">
        <v>16</v>
      </c>
      <c r="N45" s="2" t="s">
        <v>3</v>
      </c>
    </row>
    <row r="46" ht="51.75" customHeight="1">
      <c r="A46" s="3" t="s">
        <v>217</v>
      </c>
      <c r="B46" s="3" t="s">
        <v>140</v>
      </c>
      <c r="C46" s="3" t="s">
        <v>112</v>
      </c>
      <c r="D46" s="3" t="s">
        <v>114</v>
      </c>
      <c r="E46" s="11">
        <v>13745.583714336015</v>
      </c>
      <c r="F46" s="11">
        <v>841.379280946</v>
      </c>
      <c r="G46" s="11">
        <v>21335.693580469244</v>
      </c>
      <c r="H46" s="11">
        <v>3253.478433022086</v>
      </c>
      <c r="I46" s="15">
        <v>0.9235227844020784</v>
      </c>
      <c r="J46" s="15">
        <v>0.015647499654262598</v>
      </c>
      <c r="K46" s="3" t="s">
        <v>144</v>
      </c>
      <c r="L46" s="3" t="s">
        <v>88</v>
      </c>
      <c r="M46" s="3" t="s">
        <v>38</v>
      </c>
      <c r="N46" s="3" t="s">
        <v>222</v>
      </c>
    </row>
    <row r="47" ht="51.75" customHeight="1">
      <c r="A47" s="3" t="s">
        <v>224</v>
      </c>
      <c r="B47" s="3" t="s">
        <v>183</v>
      </c>
      <c r="C47" s="3" t="s">
        <v>112</v>
      </c>
      <c r="D47" s="3" t="s">
        <v>114</v>
      </c>
      <c r="E47" s="11">
        <v>13749.643116493095</v>
      </c>
      <c r="F47" s="11">
        <v>826.7931447371741</v>
      </c>
      <c r="G47" s="11">
        <v>21376.418268549758</v>
      </c>
      <c r="H47" s="11">
        <v>3271.0720143999242</v>
      </c>
      <c r="I47" s="15">
        <v>0.9232223348990829</v>
      </c>
      <c r="J47" s="15">
        <v>0.0158081186987799</v>
      </c>
      <c r="K47" s="3" t="s">
        <v>149</v>
      </c>
      <c r="L47" s="3" t="s">
        <v>88</v>
      </c>
      <c r="M47" s="3" t="s">
        <v>38</v>
      </c>
      <c r="N47" s="3" t="s">
        <v>222</v>
      </c>
    </row>
    <row r="48" ht="51.75" customHeight="1">
      <c r="A48" s="3" t="s">
        <v>228</v>
      </c>
      <c r="B48" s="3" t="s">
        <v>124</v>
      </c>
      <c r="C48" s="3" t="s">
        <v>112</v>
      </c>
      <c r="D48" s="3" t="s">
        <v>114</v>
      </c>
      <c r="E48" s="11">
        <v>13818.59708471543</v>
      </c>
      <c r="F48" s="11">
        <v>835.0374959683469</v>
      </c>
      <c r="G48" s="11">
        <v>21399.661031909192</v>
      </c>
      <c r="H48" s="11">
        <v>3168.762777688568</v>
      </c>
      <c r="I48" s="15">
        <v>0.9230847759274161</v>
      </c>
      <c r="J48" s="15">
        <v>0.015101510015459488</v>
      </c>
      <c r="K48" s="3" t="s">
        <v>132</v>
      </c>
      <c r="L48" s="3" t="s">
        <v>88</v>
      </c>
      <c r="M48" s="3" t="s">
        <v>38</v>
      </c>
      <c r="N48" s="3" t="s">
        <v>222</v>
      </c>
    </row>
    <row r="49" ht="51.75" customHeight="1">
      <c r="A49" s="3" t="s">
        <v>229</v>
      </c>
      <c r="B49" s="3" t="s">
        <v>111</v>
      </c>
      <c r="C49" s="3" t="s">
        <v>112</v>
      </c>
      <c r="D49" s="3" t="s">
        <v>114</v>
      </c>
      <c r="E49" s="11">
        <v>14958.181062457748</v>
      </c>
      <c r="F49" s="11">
        <v>561.441991066028</v>
      </c>
      <c r="G49" s="11">
        <v>24299.155468542634</v>
      </c>
      <c r="H49" s="11">
        <v>3540.325758177512</v>
      </c>
      <c r="I49" s="15">
        <v>0.8995725718857385</v>
      </c>
      <c r="J49" s="15">
        <v>0.024240796168423326</v>
      </c>
      <c r="K49" s="3" t="s">
        <v>85</v>
      </c>
      <c r="L49" s="3" t="s">
        <v>88</v>
      </c>
      <c r="M49" s="3" t="s">
        <v>38</v>
      </c>
      <c r="N49" s="3" t="s">
        <v>222</v>
      </c>
    </row>
    <row r="50" ht="51.75" customHeight="1">
      <c r="A50" s="3" t="s">
        <v>231</v>
      </c>
      <c r="B50" s="3" t="s">
        <v>198</v>
      </c>
      <c r="C50" s="3" t="s">
        <v>112</v>
      </c>
      <c r="D50" s="3" t="s">
        <v>68</v>
      </c>
      <c r="E50" s="11">
        <v>16554.343985972868</v>
      </c>
      <c r="F50" s="11">
        <v>958.0994607198643</v>
      </c>
      <c r="G50" s="11">
        <v>26107.29258722456</v>
      </c>
      <c r="H50" s="11">
        <v>2431.402748215474</v>
      </c>
      <c r="I50" s="15">
        <v>0.8851980969629446</v>
      </c>
      <c r="J50" s="15">
        <v>0.014703865119424975</v>
      </c>
      <c r="K50" s="3" t="s">
        <v>164</v>
      </c>
      <c r="L50" s="3" t="s">
        <v>88</v>
      </c>
      <c r="M50" s="3" t="s">
        <v>38</v>
      </c>
      <c r="N50" s="3" t="s">
        <v>222</v>
      </c>
    </row>
    <row r="51" ht="51.75" customHeight="1">
      <c r="A51" s="3" t="s">
        <v>232</v>
      </c>
      <c r="B51" s="3" t="s">
        <v>198</v>
      </c>
      <c r="C51" s="3" t="s">
        <v>112</v>
      </c>
      <c r="D51" s="3" t="s">
        <v>114</v>
      </c>
      <c r="E51" s="11">
        <v>16799.695888697526</v>
      </c>
      <c r="F51" s="11">
        <v>906.744965339178</v>
      </c>
      <c r="G51" s="11">
        <v>27293.13025750625</v>
      </c>
      <c r="H51" s="11">
        <v>3330.9051747631415</v>
      </c>
      <c r="I51" s="15">
        <v>0.8751347858104195</v>
      </c>
      <c r="J51" s="15">
        <v>0.01788340043854115</v>
      </c>
      <c r="K51" s="3" t="s">
        <v>237</v>
      </c>
      <c r="L51" s="3" t="s">
        <v>88</v>
      </c>
      <c r="M51" s="3" t="s">
        <v>38</v>
      </c>
      <c r="N51" s="3" t="s">
        <v>222</v>
      </c>
    </row>
    <row r="52" ht="51.75" customHeight="1">
      <c r="A52" s="3" t="s">
        <v>239</v>
      </c>
      <c r="B52" s="3" t="s">
        <v>140</v>
      </c>
      <c r="C52" s="3" t="s">
        <v>112</v>
      </c>
      <c r="D52" s="3" t="s">
        <v>68</v>
      </c>
      <c r="E52" s="11">
        <v>18155.640226496587</v>
      </c>
      <c r="F52" s="11">
        <v>1056.4315423520732</v>
      </c>
      <c r="G52" s="11">
        <v>27099.480314385542</v>
      </c>
      <c r="H52" s="11">
        <v>3325.6064187635707</v>
      </c>
      <c r="I52" s="15">
        <v>0.8763686515952959</v>
      </c>
      <c r="J52" s="15">
        <v>0.021227499836654198</v>
      </c>
      <c r="K52" s="3" t="s">
        <v>244</v>
      </c>
      <c r="L52" s="3" t="s">
        <v>88</v>
      </c>
      <c r="M52" s="3" t="s">
        <v>38</v>
      </c>
      <c r="N52" s="3" t="s">
        <v>222</v>
      </c>
    </row>
    <row r="53" ht="51.75" customHeight="1">
      <c r="A53" s="3" t="s">
        <v>246</v>
      </c>
      <c r="B53" s="3" t="s">
        <v>124</v>
      </c>
      <c r="C53" s="3" t="s">
        <v>112</v>
      </c>
      <c r="D53" s="3" t="s">
        <v>68</v>
      </c>
      <c r="E53" s="11">
        <v>18357.713135867616</v>
      </c>
      <c r="F53" s="11">
        <v>987.2636303588573</v>
      </c>
      <c r="G53" s="11">
        <v>27267.4724787143</v>
      </c>
      <c r="H53" s="11">
        <v>3740.16163179923</v>
      </c>
      <c r="I53" s="15">
        <v>0.8749503782362831</v>
      </c>
      <c r="J53" s="15">
        <v>0.023508051603803967</v>
      </c>
      <c r="K53" s="3" t="s">
        <v>250</v>
      </c>
      <c r="L53" s="3" t="s">
        <v>88</v>
      </c>
      <c r="M53" s="3" t="s">
        <v>38</v>
      </c>
      <c r="N53" s="3" t="s">
        <v>222</v>
      </c>
    </row>
    <row r="54" ht="51.75" customHeight="1">
      <c r="A54" s="3" t="s">
        <v>254</v>
      </c>
      <c r="B54" s="3" t="s">
        <v>183</v>
      </c>
      <c r="C54" s="3" t="s">
        <v>112</v>
      </c>
      <c r="D54" s="3" t="s">
        <v>68</v>
      </c>
      <c r="E54" s="11">
        <v>18362.047405193163</v>
      </c>
      <c r="F54" s="11">
        <v>983.9032347792094</v>
      </c>
      <c r="G54" s="11">
        <v>27263.25303031713</v>
      </c>
      <c r="H54" s="11">
        <v>3728.3089427346695</v>
      </c>
      <c r="I54" s="15">
        <v>0.8749859480964621</v>
      </c>
      <c r="J54" s="15">
        <v>0.02344866763729039</v>
      </c>
      <c r="K54" s="3" t="s">
        <v>260</v>
      </c>
      <c r="L54" s="3" t="s">
        <v>88</v>
      </c>
      <c r="M54" s="3" t="s">
        <v>38</v>
      </c>
      <c r="N54" s="3" t="s">
        <v>222</v>
      </c>
    </row>
    <row r="55" ht="51.75" customHeight="1">
      <c r="A55" s="3" t="s">
        <v>264</v>
      </c>
      <c r="B55" s="3" t="s">
        <v>111</v>
      </c>
      <c r="C55" s="3" t="s">
        <v>112</v>
      </c>
      <c r="D55" s="3" t="s">
        <v>68</v>
      </c>
      <c r="E55" s="11">
        <v>19907.143554915805</v>
      </c>
      <c r="F55" s="11">
        <v>1055.3181573881948</v>
      </c>
      <c r="G55" s="11">
        <v>30835.435041340905</v>
      </c>
      <c r="H55" s="11">
        <v>4519.665126863338</v>
      </c>
      <c r="I55" s="15">
        <v>0.8365149173799805</v>
      </c>
      <c r="J55" s="15">
        <v>0.04750182117897543</v>
      </c>
      <c r="K55" s="3" t="s">
        <v>85</v>
      </c>
      <c r="L55" s="3" t="s">
        <v>88</v>
      </c>
      <c r="M55" s="3" t="s">
        <v>38</v>
      </c>
      <c r="N55" s="3" t="s">
        <v>222</v>
      </c>
    </row>
    <row r="56" ht="51.75" customHeight="1">
      <c r="A56" s="3" t="s">
        <v>268</v>
      </c>
      <c r="B56" s="3" t="s">
        <v>197</v>
      </c>
      <c r="C56" s="3" t="s">
        <v>101</v>
      </c>
      <c r="D56" s="3" t="s">
        <v>68</v>
      </c>
      <c r="E56" s="11">
        <v>37159.831024158266</v>
      </c>
      <c r="F56" s="11">
        <v>2294.9060078027237</v>
      </c>
      <c r="G56" s="11">
        <v>53091.63772754186</v>
      </c>
      <c r="H56" s="11">
        <v>2645.2721188549435</v>
      </c>
      <c r="I56" s="15">
        <v>0.5210277645279927</v>
      </c>
      <c r="J56" s="15">
        <v>0.07387295040174907</v>
      </c>
      <c r="K56" s="3" t="s">
        <v>85</v>
      </c>
      <c r="L56" s="3" t="s">
        <v>88</v>
      </c>
      <c r="M56" s="3" t="s">
        <v>38</v>
      </c>
      <c r="N56" s="3" t="s">
        <v>222</v>
      </c>
    </row>
    <row r="57" ht="51.75" customHeight="1">
      <c r="A57" s="3" t="s">
        <v>269</v>
      </c>
      <c r="B57" s="3" t="s">
        <v>197</v>
      </c>
      <c r="C57" s="3" t="s">
        <v>101</v>
      </c>
      <c r="D57" s="3" t="s">
        <v>114</v>
      </c>
      <c r="E57" s="11">
        <v>37478.33805897132</v>
      </c>
      <c r="F57" s="11">
        <v>2027.6272387243691</v>
      </c>
      <c r="G57" s="11">
        <v>54378.84711048205</v>
      </c>
      <c r="H57" s="11">
        <v>2664.3717493604586</v>
      </c>
      <c r="I57" s="15">
        <v>0.493864384158483</v>
      </c>
      <c r="J57" s="15">
        <v>0.10094184011557192</v>
      </c>
      <c r="K57" s="3" t="s">
        <v>85</v>
      </c>
      <c r="L57" s="3" t="s">
        <v>88</v>
      </c>
      <c r="M57" s="3" t="s">
        <v>38</v>
      </c>
      <c r="N57" s="3" t="s">
        <v>222</v>
      </c>
    </row>
    <row r="58" ht="51.75" customHeight="1">
      <c r="A58" s="3" t="s">
        <v>273</v>
      </c>
      <c r="B58" s="3" t="s">
        <v>195</v>
      </c>
      <c r="C58" s="3" t="s">
        <v>67</v>
      </c>
      <c r="D58" s="3" t="s">
        <v>68</v>
      </c>
      <c r="E58" s="11">
        <v>56391.60494683102</v>
      </c>
      <c r="F58" s="11">
        <v>1243.708910128986</v>
      </c>
      <c r="G58" s="11">
        <v>77190.34424604732</v>
      </c>
      <c r="H58" s="11">
        <v>4334.058635602764</v>
      </c>
      <c r="I58" s="15">
        <v>-5.617138603490002E-4</v>
      </c>
      <c r="J58" s="15">
        <v>6.721267552782601E-4</v>
      </c>
      <c r="K58" s="3" t="s">
        <v>85</v>
      </c>
      <c r="L58" s="3" t="s">
        <v>88</v>
      </c>
      <c r="M58" s="3" t="s">
        <v>38</v>
      </c>
      <c r="N58" s="3" t="s">
        <v>222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3.0"/>
    <col customWidth="1" min="2" max="2" width="18.0"/>
    <col customWidth="1" min="3" max="3" width="36.0"/>
    <col customWidth="1" min="4" max="5" width="24.0"/>
    <col customWidth="1" min="6" max="8" width="19.0"/>
    <col customWidth="1" min="9" max="9" width="44.0"/>
    <col customWidth="1" min="10" max="10" width="19.0"/>
    <col customWidth="1" min="11" max="12" width="18.0"/>
    <col customWidth="1" min="13" max="13" width="19.0"/>
    <col customWidth="1" min="14" max="14" width="17.0"/>
    <col customWidth="1" min="15" max="15" width="20.0"/>
  </cols>
  <sheetData>
    <row r="1" ht="12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24.75" customHeight="1">
      <c r="A2" s="14" t="s">
        <v>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21.75" customHeight="1">
      <c r="A3" s="17" t="s">
        <v>99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12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31.5" customHeight="1">
      <c r="A5" s="2" t="s">
        <v>117</v>
      </c>
      <c r="B5" s="2" t="s">
        <v>36</v>
      </c>
      <c r="C5" s="2" t="s">
        <v>120</v>
      </c>
      <c r="D5" s="2" t="s">
        <v>121</v>
      </c>
      <c r="E5" s="2" t="s">
        <v>123</v>
      </c>
      <c r="F5" s="2" t="s">
        <v>125</v>
      </c>
      <c r="G5" s="2" t="s">
        <v>126</v>
      </c>
      <c r="H5" s="2" t="s">
        <v>127</v>
      </c>
      <c r="I5" s="2" t="s">
        <v>128</v>
      </c>
      <c r="J5" s="2" t="s">
        <v>130</v>
      </c>
      <c r="K5" s="2" t="s">
        <v>133</v>
      </c>
      <c r="L5" s="2" t="s">
        <v>135</v>
      </c>
      <c r="M5" s="2" t="s">
        <v>137</v>
      </c>
      <c r="N5" s="2" t="s">
        <v>139</v>
      </c>
      <c r="O5" s="2" t="s">
        <v>141</v>
      </c>
    </row>
    <row r="6" ht="42.0" customHeight="1">
      <c r="A6" s="3" t="s">
        <v>142</v>
      </c>
      <c r="B6" s="3" t="s">
        <v>124</v>
      </c>
      <c r="C6" s="3" t="s">
        <v>143</v>
      </c>
      <c r="D6" s="3" t="s">
        <v>112</v>
      </c>
      <c r="E6" s="3" t="s">
        <v>145</v>
      </c>
      <c r="F6" s="11">
        <v>21399.6610319092</v>
      </c>
      <c r="G6" s="11">
        <v>20177.299314429954</v>
      </c>
      <c r="H6" s="11">
        <v>-1222.361717479243</v>
      </c>
      <c r="I6" s="19">
        <v>-0.05712061119363397</v>
      </c>
      <c r="J6" s="11">
        <v>-368.33076630405264</v>
      </c>
      <c r="K6" s="3">
        <v>5.0</v>
      </c>
      <c r="L6" s="3" t="s">
        <v>153</v>
      </c>
      <c r="M6" s="3" t="s">
        <v>154</v>
      </c>
      <c r="N6" s="20"/>
      <c r="O6" s="3" t="s">
        <v>153</v>
      </c>
    </row>
    <row r="7" ht="42.0" customHeight="1">
      <c r="A7" s="3" t="s">
        <v>156</v>
      </c>
      <c r="B7" s="3" t="s">
        <v>124</v>
      </c>
      <c r="C7" s="3" t="s">
        <v>143</v>
      </c>
      <c r="D7" s="3" t="s">
        <v>158</v>
      </c>
      <c r="E7" s="3" t="s">
        <v>160</v>
      </c>
      <c r="F7" s="11">
        <v>21638.61684027548</v>
      </c>
      <c r="G7" s="11">
        <v>21398.043861106722</v>
      </c>
      <c r="H7" s="11">
        <v>-240.57297916875686</v>
      </c>
      <c r="I7" s="19">
        <v>-0.01111776140520155</v>
      </c>
      <c r="J7" s="11">
        <v>-346.9921638874519</v>
      </c>
      <c r="K7" s="3">
        <v>4.0</v>
      </c>
      <c r="L7" s="3" t="s">
        <v>153</v>
      </c>
      <c r="M7" s="3" t="s">
        <v>154</v>
      </c>
      <c r="N7" s="20"/>
      <c r="O7" s="3" t="s">
        <v>153</v>
      </c>
    </row>
    <row r="8" ht="42.0" customHeight="1">
      <c r="A8" s="3" t="s">
        <v>163</v>
      </c>
      <c r="B8" s="3" t="s">
        <v>124</v>
      </c>
      <c r="C8" s="3" t="s">
        <v>143</v>
      </c>
      <c r="D8" s="3" t="s">
        <v>112</v>
      </c>
      <c r="E8" s="3" t="s">
        <v>160</v>
      </c>
      <c r="F8" s="11">
        <v>21399.6610319092</v>
      </c>
      <c r="G8" s="11">
        <v>21398.043861106722</v>
      </c>
      <c r="H8" s="11">
        <v>-1.6171708024761755</v>
      </c>
      <c r="I8" s="19">
        <v>-7.556992608743919E-5</v>
      </c>
      <c r="J8" s="11">
        <v>-15.011173994608907</v>
      </c>
      <c r="K8" s="3">
        <v>3.0</v>
      </c>
      <c r="L8" s="3" t="s">
        <v>153</v>
      </c>
      <c r="M8" s="3" t="s">
        <v>154</v>
      </c>
      <c r="N8" s="20"/>
      <c r="O8" s="3" t="s">
        <v>153</v>
      </c>
    </row>
    <row r="9" ht="42.0" customHeight="1">
      <c r="A9" s="3" t="s">
        <v>166</v>
      </c>
      <c r="B9" s="3" t="s">
        <v>124</v>
      </c>
      <c r="C9" s="3" t="s">
        <v>143</v>
      </c>
      <c r="D9" s="3" t="s">
        <v>112</v>
      </c>
      <c r="E9" s="3" t="s">
        <v>168</v>
      </c>
      <c r="F9" s="11">
        <v>21399.6610319092</v>
      </c>
      <c r="G9" s="11">
        <v>21164.565007751607</v>
      </c>
      <c r="H9" s="11">
        <v>-235.09602415759437</v>
      </c>
      <c r="I9" s="19">
        <v>-0.010985969535079958</v>
      </c>
      <c r="J9" s="11">
        <v>-37.710997481370576</v>
      </c>
      <c r="K9" s="3">
        <v>3.0</v>
      </c>
      <c r="L9" s="3" t="s">
        <v>154</v>
      </c>
      <c r="M9" s="3" t="s">
        <v>154</v>
      </c>
      <c r="N9" s="20">
        <v>0.02</v>
      </c>
      <c r="O9" s="3" t="s">
        <v>153</v>
      </c>
    </row>
    <row r="10" ht="42.0" customHeight="1">
      <c r="A10" s="3" t="s">
        <v>171</v>
      </c>
      <c r="B10" s="3" t="s">
        <v>124</v>
      </c>
      <c r="C10" s="3" t="s">
        <v>143</v>
      </c>
      <c r="D10" s="3" t="s">
        <v>172</v>
      </c>
      <c r="E10" s="3" t="s">
        <v>173</v>
      </c>
      <c r="F10" s="11">
        <v>25352.0987292493</v>
      </c>
      <c r="G10" s="11">
        <v>22523.76599292459</v>
      </c>
      <c r="H10" s="11">
        <v>-2828.3327363247154</v>
      </c>
      <c r="I10" s="19">
        <v>-0.11156207486134467</v>
      </c>
      <c r="J10" s="11">
        <v>-1186.8957447015841</v>
      </c>
      <c r="K10" s="3">
        <v>5.0</v>
      </c>
      <c r="L10" s="3" t="s">
        <v>153</v>
      </c>
      <c r="M10" s="3" t="s">
        <v>154</v>
      </c>
      <c r="N10" s="20"/>
      <c r="O10" s="3" t="s">
        <v>153</v>
      </c>
    </row>
    <row r="11" ht="42.0" customHeight="1">
      <c r="A11" s="3" t="s">
        <v>175</v>
      </c>
      <c r="B11" s="3" t="s">
        <v>124</v>
      </c>
      <c r="C11" s="3" t="s">
        <v>143</v>
      </c>
      <c r="D11" s="3" t="s">
        <v>112</v>
      </c>
      <c r="E11" s="3" t="s">
        <v>173</v>
      </c>
      <c r="F11" s="11">
        <v>21399.6610319092</v>
      </c>
      <c r="G11" s="11">
        <v>22523.76599292459</v>
      </c>
      <c r="H11" s="11">
        <v>1124.1049610153896</v>
      </c>
      <c r="I11" s="19">
        <v>0.052529101247876214</v>
      </c>
      <c r="J11" s="11">
        <v>1943.9027618880918</v>
      </c>
      <c r="K11" s="3">
        <v>1.0</v>
      </c>
      <c r="L11" s="3" t="s">
        <v>154</v>
      </c>
      <c r="M11" s="3" t="s">
        <v>153</v>
      </c>
      <c r="N11" s="20"/>
      <c r="O11" s="3" t="s">
        <v>153</v>
      </c>
    </row>
    <row r="12" ht="42.0" customHeight="1">
      <c r="A12" s="3" t="s">
        <v>178</v>
      </c>
      <c r="B12" s="3" t="s">
        <v>124</v>
      </c>
      <c r="C12" s="3" t="s">
        <v>143</v>
      </c>
      <c r="D12" s="3" t="s">
        <v>172</v>
      </c>
      <c r="E12" s="3" t="s">
        <v>179</v>
      </c>
      <c r="F12" s="11">
        <v>25352.0987292493</v>
      </c>
      <c r="G12" s="11">
        <v>25937.8763874781</v>
      </c>
      <c r="H12" s="11">
        <v>585.7776582287967</v>
      </c>
      <c r="I12" s="19">
        <v>0.02310568700779686</v>
      </c>
      <c r="J12" s="11">
        <v>429.1840013647401</v>
      </c>
      <c r="K12" s="3">
        <v>2.0</v>
      </c>
      <c r="L12" s="3" t="s">
        <v>154</v>
      </c>
      <c r="M12" s="3" t="s">
        <v>153</v>
      </c>
      <c r="N12" s="20"/>
      <c r="O12" s="3" t="s">
        <v>153</v>
      </c>
    </row>
    <row r="13" ht="42.0" customHeight="1">
      <c r="A13" s="3" t="s">
        <v>142</v>
      </c>
      <c r="B13" s="3" t="s">
        <v>124</v>
      </c>
      <c r="C13" s="3" t="s">
        <v>181</v>
      </c>
      <c r="D13" s="3" t="s">
        <v>112</v>
      </c>
      <c r="E13" s="3" t="s">
        <v>145</v>
      </c>
      <c r="F13" s="11">
        <v>21399.6610319092</v>
      </c>
      <c r="G13" s="11">
        <v>20177.299314429954</v>
      </c>
      <c r="H13" s="11">
        <v>-1222.361717479243</v>
      </c>
      <c r="I13" s="19">
        <v>-0.05712061119363397</v>
      </c>
      <c r="J13" s="11">
        <v>-368.33076630405264</v>
      </c>
      <c r="K13" s="3">
        <v>5.0</v>
      </c>
      <c r="L13" s="3" t="s">
        <v>153</v>
      </c>
      <c r="M13" s="3" t="s">
        <v>154</v>
      </c>
      <c r="N13" s="20"/>
      <c r="O13" s="3" t="s">
        <v>153</v>
      </c>
    </row>
    <row r="14" ht="42.0" customHeight="1">
      <c r="A14" s="3" t="s">
        <v>156</v>
      </c>
      <c r="B14" s="3" t="s">
        <v>124</v>
      </c>
      <c r="C14" s="3" t="s">
        <v>181</v>
      </c>
      <c r="D14" s="3" t="s">
        <v>158</v>
      </c>
      <c r="E14" s="3" t="s">
        <v>160</v>
      </c>
      <c r="F14" s="11">
        <v>21638.61684027548</v>
      </c>
      <c r="G14" s="11">
        <v>21398.043861106722</v>
      </c>
      <c r="H14" s="11">
        <v>-240.57297916875686</v>
      </c>
      <c r="I14" s="19">
        <v>-0.01111776140520155</v>
      </c>
      <c r="J14" s="11">
        <v>-346.9921638874519</v>
      </c>
      <c r="K14" s="3">
        <v>4.0</v>
      </c>
      <c r="L14" s="3" t="s">
        <v>153</v>
      </c>
      <c r="M14" s="3" t="s">
        <v>154</v>
      </c>
      <c r="N14" s="20"/>
      <c r="O14" s="3" t="s">
        <v>153</v>
      </c>
    </row>
    <row r="15" ht="42.0" customHeight="1">
      <c r="A15" s="3" t="s">
        <v>163</v>
      </c>
      <c r="B15" s="3" t="s">
        <v>124</v>
      </c>
      <c r="C15" s="3" t="s">
        <v>181</v>
      </c>
      <c r="D15" s="3" t="s">
        <v>112</v>
      </c>
      <c r="E15" s="3" t="s">
        <v>160</v>
      </c>
      <c r="F15" s="11">
        <v>21399.6610319092</v>
      </c>
      <c r="G15" s="11">
        <v>21398.043861106722</v>
      </c>
      <c r="H15" s="11">
        <v>-1.6171708024761755</v>
      </c>
      <c r="I15" s="19">
        <v>-7.556992608743919E-5</v>
      </c>
      <c r="J15" s="11">
        <v>-15.011173994608907</v>
      </c>
      <c r="K15" s="3">
        <v>3.0</v>
      </c>
      <c r="L15" s="3" t="s">
        <v>153</v>
      </c>
      <c r="M15" s="3" t="s">
        <v>154</v>
      </c>
      <c r="N15" s="20"/>
      <c r="O15" s="3" t="s">
        <v>153</v>
      </c>
    </row>
    <row r="16" ht="42.0" customHeight="1">
      <c r="A16" s="3" t="s">
        <v>166</v>
      </c>
      <c r="B16" s="3" t="s">
        <v>124</v>
      </c>
      <c r="C16" s="3" t="s">
        <v>181</v>
      </c>
      <c r="D16" s="3" t="s">
        <v>112</v>
      </c>
      <c r="E16" s="3" t="s">
        <v>168</v>
      </c>
      <c r="F16" s="11">
        <v>21399.6610319092</v>
      </c>
      <c r="G16" s="11">
        <v>21164.565007751607</v>
      </c>
      <c r="H16" s="11">
        <v>-235.09602415759437</v>
      </c>
      <c r="I16" s="19">
        <v>-0.010985969535079958</v>
      </c>
      <c r="J16" s="11">
        <v>-37.710997481370576</v>
      </c>
      <c r="K16" s="3">
        <v>3.0</v>
      </c>
      <c r="L16" s="3" t="s">
        <v>154</v>
      </c>
      <c r="M16" s="3" t="s">
        <v>154</v>
      </c>
      <c r="N16" s="20">
        <v>0.02</v>
      </c>
      <c r="O16" s="3" t="s">
        <v>153</v>
      </c>
    </row>
    <row r="17" ht="42.0" customHeight="1">
      <c r="A17" s="3" t="s">
        <v>171</v>
      </c>
      <c r="B17" s="3" t="s">
        <v>124</v>
      </c>
      <c r="C17" s="3" t="s">
        <v>181</v>
      </c>
      <c r="D17" s="3" t="s">
        <v>172</v>
      </c>
      <c r="E17" s="3" t="s">
        <v>173</v>
      </c>
      <c r="F17" s="11">
        <v>25284.68098201951</v>
      </c>
      <c r="G17" s="11">
        <v>22523.76599292459</v>
      </c>
      <c r="H17" s="11">
        <v>-2760.91498909492</v>
      </c>
      <c r="I17" s="19">
        <v>-0.10919319057488866</v>
      </c>
      <c r="J17" s="11">
        <v>-1170.320553190299</v>
      </c>
      <c r="K17" s="3">
        <v>5.0</v>
      </c>
      <c r="L17" s="3" t="s">
        <v>153</v>
      </c>
      <c r="M17" s="3" t="s">
        <v>154</v>
      </c>
      <c r="N17" s="20"/>
      <c r="O17" s="3" t="s">
        <v>153</v>
      </c>
    </row>
    <row r="18" ht="42.0" customHeight="1">
      <c r="A18" s="3" t="s">
        <v>175</v>
      </c>
      <c r="B18" s="3" t="s">
        <v>124</v>
      </c>
      <c r="C18" s="3" t="s">
        <v>181</v>
      </c>
      <c r="D18" s="3" t="s">
        <v>112</v>
      </c>
      <c r="E18" s="3" t="s">
        <v>173</v>
      </c>
      <c r="F18" s="11">
        <v>21399.6610319092</v>
      </c>
      <c r="G18" s="11">
        <v>22523.76599292459</v>
      </c>
      <c r="H18" s="11">
        <v>1124.1049610153896</v>
      </c>
      <c r="I18" s="19">
        <v>0.052529101247876214</v>
      </c>
      <c r="J18" s="11">
        <v>1943.9027618880918</v>
      </c>
      <c r="K18" s="3">
        <v>1.0</v>
      </c>
      <c r="L18" s="3" t="s">
        <v>154</v>
      </c>
      <c r="M18" s="3" t="s">
        <v>153</v>
      </c>
      <c r="N18" s="20"/>
      <c r="O18" s="3" t="s">
        <v>153</v>
      </c>
    </row>
    <row r="19" ht="42.0" customHeight="1">
      <c r="A19" s="3" t="s">
        <v>178</v>
      </c>
      <c r="B19" s="3" t="s">
        <v>124</v>
      </c>
      <c r="C19" s="3" t="s">
        <v>181</v>
      </c>
      <c r="D19" s="3" t="s">
        <v>172</v>
      </c>
      <c r="E19" s="3" t="s">
        <v>179</v>
      </c>
      <c r="F19" s="11">
        <v>25284.68098201951</v>
      </c>
      <c r="G19" s="11">
        <v>25789.090799814283</v>
      </c>
      <c r="H19" s="11">
        <v>504.4098177947744</v>
      </c>
      <c r="I19" s="19">
        <v>0.01994922610071574</v>
      </c>
      <c r="J19" s="11">
        <v>350.00983269976643</v>
      </c>
      <c r="K19" s="3">
        <v>3.0</v>
      </c>
      <c r="L19" s="3" t="s">
        <v>154</v>
      </c>
      <c r="M19" s="3" t="s">
        <v>153</v>
      </c>
      <c r="N19" s="20"/>
      <c r="O19" s="3" t="s">
        <v>153</v>
      </c>
    </row>
    <row r="20" ht="42.0" customHeight="1">
      <c r="A20" s="3" t="s">
        <v>142</v>
      </c>
      <c r="B20" s="3" t="s">
        <v>140</v>
      </c>
      <c r="C20" s="3" t="s">
        <v>181</v>
      </c>
      <c r="D20" s="3" t="s">
        <v>112</v>
      </c>
      <c r="E20" s="3" t="s">
        <v>145</v>
      </c>
      <c r="F20" s="11">
        <v>21335.693580469244</v>
      </c>
      <c r="G20" s="11">
        <v>19945.94957310633</v>
      </c>
      <c r="H20" s="11">
        <v>-1389.7440073629157</v>
      </c>
      <c r="I20" s="19">
        <v>-0.06513704380508589</v>
      </c>
      <c r="J20" s="11">
        <v>-384.7778356953466</v>
      </c>
      <c r="K20" s="3">
        <v>5.0</v>
      </c>
      <c r="L20" s="3" t="s">
        <v>153</v>
      </c>
      <c r="M20" s="3" t="s">
        <v>154</v>
      </c>
      <c r="N20" s="20"/>
      <c r="O20" s="3" t="s">
        <v>153</v>
      </c>
    </row>
    <row r="21" ht="42.0" customHeight="1">
      <c r="A21" s="3" t="s">
        <v>156</v>
      </c>
      <c r="B21" s="3" t="s">
        <v>140</v>
      </c>
      <c r="C21" s="3" t="s">
        <v>181</v>
      </c>
      <c r="D21" s="3" t="s">
        <v>158</v>
      </c>
      <c r="E21" s="3" t="s">
        <v>160</v>
      </c>
      <c r="F21" s="11">
        <v>21633.9006329438</v>
      </c>
      <c r="G21" s="11">
        <v>21320.986636178764</v>
      </c>
      <c r="H21" s="11">
        <v>-312.91399676503863</v>
      </c>
      <c r="I21" s="19">
        <v>-0.01446405814994528</v>
      </c>
      <c r="J21" s="11">
        <v>-405.9439616408657</v>
      </c>
      <c r="K21" s="3">
        <v>4.0</v>
      </c>
      <c r="L21" s="3" t="s">
        <v>153</v>
      </c>
      <c r="M21" s="3" t="s">
        <v>154</v>
      </c>
      <c r="N21" s="20"/>
      <c r="O21" s="3" t="s">
        <v>153</v>
      </c>
    </row>
    <row r="22" ht="42.0" customHeight="1">
      <c r="A22" s="3" t="s">
        <v>163</v>
      </c>
      <c r="B22" s="3" t="s">
        <v>140</v>
      </c>
      <c r="C22" s="3" t="s">
        <v>181</v>
      </c>
      <c r="D22" s="3" t="s">
        <v>112</v>
      </c>
      <c r="E22" s="3" t="s">
        <v>160</v>
      </c>
      <c r="F22" s="11">
        <v>21335.693580469244</v>
      </c>
      <c r="G22" s="11">
        <v>21320.986636178764</v>
      </c>
      <c r="H22" s="11">
        <v>-14.70694429048308</v>
      </c>
      <c r="I22" s="19">
        <v>-6.893117505184937E-4</v>
      </c>
      <c r="J22" s="11">
        <v>-18.48066309410824</v>
      </c>
      <c r="K22" s="3">
        <v>3.0</v>
      </c>
      <c r="L22" s="3" t="s">
        <v>153</v>
      </c>
      <c r="M22" s="3" t="s">
        <v>154</v>
      </c>
      <c r="N22" s="20"/>
      <c r="O22" s="3" t="s">
        <v>153</v>
      </c>
    </row>
    <row r="23" ht="42.0" customHeight="1">
      <c r="A23" s="3" t="s">
        <v>166</v>
      </c>
      <c r="B23" s="3" t="s">
        <v>140</v>
      </c>
      <c r="C23" s="3" t="s">
        <v>181</v>
      </c>
      <c r="D23" s="3" t="s">
        <v>112</v>
      </c>
      <c r="E23" s="3" t="s">
        <v>168</v>
      </c>
      <c r="F23" s="11">
        <v>21335.693580469244</v>
      </c>
      <c r="G23" s="11">
        <v>21061.575500353378</v>
      </c>
      <c r="H23" s="11">
        <v>-274.1180801158698</v>
      </c>
      <c r="I23" s="19">
        <v>-0.012847863561688693</v>
      </c>
      <c r="J23" s="11">
        <v>-2.1350584124866145</v>
      </c>
      <c r="K23" s="3">
        <v>2.0</v>
      </c>
      <c r="L23" s="3" t="s">
        <v>154</v>
      </c>
      <c r="M23" s="3" t="s">
        <v>154</v>
      </c>
      <c r="N23" s="20">
        <v>0.02</v>
      </c>
      <c r="O23" s="3" t="s">
        <v>153</v>
      </c>
    </row>
    <row r="24" ht="42.0" customHeight="1">
      <c r="A24" s="3" t="s">
        <v>171</v>
      </c>
      <c r="B24" s="3" t="s">
        <v>140</v>
      </c>
      <c r="C24" s="3" t="s">
        <v>181</v>
      </c>
      <c r="D24" s="3" t="s">
        <v>172</v>
      </c>
      <c r="E24" s="3" t="s">
        <v>173</v>
      </c>
      <c r="F24" s="11">
        <v>25290.406034945638</v>
      </c>
      <c r="G24" s="11">
        <v>22404.987486799982</v>
      </c>
      <c r="H24" s="11">
        <v>-2885.4185481456543</v>
      </c>
      <c r="I24" s="19">
        <v>-0.11409142835265901</v>
      </c>
      <c r="J24" s="11">
        <v>-1252.621704876558</v>
      </c>
      <c r="K24" s="3">
        <v>5.0</v>
      </c>
      <c r="L24" s="3" t="s">
        <v>153</v>
      </c>
      <c r="M24" s="3" t="s">
        <v>154</v>
      </c>
      <c r="N24" s="20"/>
      <c r="O24" s="3" t="s">
        <v>153</v>
      </c>
    </row>
    <row r="25" ht="42.0" customHeight="1">
      <c r="A25" s="3" t="s">
        <v>175</v>
      </c>
      <c r="B25" s="3" t="s">
        <v>140</v>
      </c>
      <c r="C25" s="3" t="s">
        <v>181</v>
      </c>
      <c r="D25" s="3" t="s">
        <v>112</v>
      </c>
      <c r="E25" s="3" t="s">
        <v>173</v>
      </c>
      <c r="F25" s="11">
        <v>21335.693580469244</v>
      </c>
      <c r="G25" s="11">
        <v>22404.987486799982</v>
      </c>
      <c r="H25" s="11">
        <v>1069.2939063307363</v>
      </c>
      <c r="I25" s="19">
        <v>0.05011760701838975</v>
      </c>
      <c r="J25" s="11">
        <v>1964.9073012560225</v>
      </c>
      <c r="K25" s="3">
        <v>1.0</v>
      </c>
      <c r="L25" s="3" t="s">
        <v>154</v>
      </c>
      <c r="M25" s="3" t="s">
        <v>153</v>
      </c>
      <c r="N25" s="20"/>
      <c r="O25" s="3" t="s">
        <v>153</v>
      </c>
    </row>
    <row r="26" ht="42.0" customHeight="1">
      <c r="A26" s="3" t="s">
        <v>178</v>
      </c>
      <c r="B26" s="3" t="s">
        <v>140</v>
      </c>
      <c r="C26" s="3" t="s">
        <v>181</v>
      </c>
      <c r="D26" s="3" t="s">
        <v>172</v>
      </c>
      <c r="E26" s="3" t="s">
        <v>179</v>
      </c>
      <c r="F26" s="11">
        <v>25290.406034945638</v>
      </c>
      <c r="G26" s="11">
        <v>25823.07926149065</v>
      </c>
      <c r="H26" s="11">
        <v>532.6732265450119</v>
      </c>
      <c r="I26" s="19">
        <v>0.021062264710537962</v>
      </c>
      <c r="J26" s="11">
        <v>341.43399984906534</v>
      </c>
      <c r="K26" s="3">
        <v>2.0</v>
      </c>
      <c r="L26" s="3" t="s">
        <v>154</v>
      </c>
      <c r="M26" s="3" t="s">
        <v>153</v>
      </c>
      <c r="N26" s="20"/>
      <c r="O26" s="3" t="s">
        <v>153</v>
      </c>
    </row>
    <row r="27" ht="42.0" customHeight="1">
      <c r="A27" s="3" t="s">
        <v>142</v>
      </c>
      <c r="B27" s="3" t="s">
        <v>183</v>
      </c>
      <c r="C27" s="3" t="s">
        <v>181</v>
      </c>
      <c r="D27" s="3" t="s">
        <v>112</v>
      </c>
      <c r="E27" s="3" t="s">
        <v>145</v>
      </c>
      <c r="F27" s="11">
        <v>21376.418268549758</v>
      </c>
      <c r="G27" s="11">
        <v>19925.102849451247</v>
      </c>
      <c r="H27" s="11">
        <v>-1451.3154190985174</v>
      </c>
      <c r="I27" s="19">
        <v>-0.06789329254629023</v>
      </c>
      <c r="J27" s="11">
        <v>-383.58401509658177</v>
      </c>
      <c r="K27" s="3">
        <v>5.0</v>
      </c>
      <c r="L27" s="3" t="s">
        <v>153</v>
      </c>
      <c r="M27" s="3" t="s">
        <v>154</v>
      </c>
      <c r="N27" s="20"/>
      <c r="O27" s="3" t="s">
        <v>153</v>
      </c>
    </row>
    <row r="28" ht="42.0" customHeight="1">
      <c r="A28" s="3" t="s">
        <v>156</v>
      </c>
      <c r="B28" s="3" t="s">
        <v>183</v>
      </c>
      <c r="C28" s="3" t="s">
        <v>181</v>
      </c>
      <c r="D28" s="3" t="s">
        <v>158</v>
      </c>
      <c r="E28" s="3" t="s">
        <v>160</v>
      </c>
      <c r="F28" s="11">
        <v>21678.358105092175</v>
      </c>
      <c r="G28" s="11">
        <v>21359.183379726506</v>
      </c>
      <c r="H28" s="11">
        <v>-319.17472536567004</v>
      </c>
      <c r="I28" s="19">
        <v>-0.01472319646249849</v>
      </c>
      <c r="J28" s="11">
        <v>-404.01480911382424</v>
      </c>
      <c r="K28" s="3">
        <v>4.0</v>
      </c>
      <c r="L28" s="3" t="s">
        <v>153</v>
      </c>
      <c r="M28" s="3" t="s">
        <v>154</v>
      </c>
      <c r="N28" s="20"/>
      <c r="O28" s="3" t="s">
        <v>153</v>
      </c>
    </row>
    <row r="29" ht="42.0" customHeight="1">
      <c r="A29" s="3" t="s">
        <v>163</v>
      </c>
      <c r="B29" s="3" t="s">
        <v>183</v>
      </c>
      <c r="C29" s="3" t="s">
        <v>181</v>
      </c>
      <c r="D29" s="3" t="s">
        <v>112</v>
      </c>
      <c r="E29" s="3" t="s">
        <v>160</v>
      </c>
      <c r="F29" s="11">
        <v>21376.418268549758</v>
      </c>
      <c r="G29" s="11">
        <v>21359.183379726506</v>
      </c>
      <c r="H29" s="11">
        <v>-17.23488882325546</v>
      </c>
      <c r="I29" s="19">
        <v>-8.06257091657343E-4</v>
      </c>
      <c r="J29" s="11">
        <v>-18.003670475021135</v>
      </c>
      <c r="K29" s="3">
        <v>3.0</v>
      </c>
      <c r="L29" s="3" t="s">
        <v>153</v>
      </c>
      <c r="M29" s="3" t="s">
        <v>154</v>
      </c>
      <c r="N29" s="20"/>
      <c r="O29" s="3" t="s">
        <v>153</v>
      </c>
    </row>
    <row r="30" ht="42.0" customHeight="1">
      <c r="A30" s="3" t="s">
        <v>166</v>
      </c>
      <c r="B30" s="3" t="s">
        <v>183</v>
      </c>
      <c r="C30" s="3" t="s">
        <v>181</v>
      </c>
      <c r="D30" s="3" t="s">
        <v>112</v>
      </c>
      <c r="E30" s="3" t="s">
        <v>168</v>
      </c>
      <c r="F30" s="11">
        <v>21376.418268549758</v>
      </c>
      <c r="G30" s="11">
        <v>21105.040087361805</v>
      </c>
      <c r="H30" s="11">
        <v>-271.3781811879562</v>
      </c>
      <c r="I30" s="19">
        <v>-0.01269521291072509</v>
      </c>
      <c r="J30" s="11">
        <v>4.545540933825032</v>
      </c>
      <c r="K30" s="3">
        <v>2.0</v>
      </c>
      <c r="L30" s="3" t="s">
        <v>154</v>
      </c>
      <c r="M30" s="3" t="s">
        <v>154</v>
      </c>
      <c r="N30" s="20">
        <v>0.02</v>
      </c>
      <c r="O30" s="3" t="s">
        <v>153</v>
      </c>
    </row>
    <row r="31" ht="42.0" customHeight="1">
      <c r="A31" s="3" t="s">
        <v>171</v>
      </c>
      <c r="B31" s="3" t="s">
        <v>183</v>
      </c>
      <c r="C31" s="3" t="s">
        <v>181</v>
      </c>
      <c r="D31" s="3" t="s">
        <v>172</v>
      </c>
      <c r="E31" s="3" t="s">
        <v>173</v>
      </c>
      <c r="F31" s="11">
        <v>25285.745232618003</v>
      </c>
      <c r="G31" s="11">
        <v>22410.862630120002</v>
      </c>
      <c r="H31" s="11">
        <v>-2874.8826024980044</v>
      </c>
      <c r="I31" s="19">
        <v>-0.11369578298168849</v>
      </c>
      <c r="J31" s="11">
        <v>-1251.491313315809</v>
      </c>
      <c r="K31" s="3">
        <v>5.0</v>
      </c>
      <c r="L31" s="3" t="s">
        <v>153</v>
      </c>
      <c r="M31" s="3" t="s">
        <v>154</v>
      </c>
      <c r="N31" s="20"/>
      <c r="O31" s="3" t="s">
        <v>153</v>
      </c>
    </row>
    <row r="32" ht="42.0" customHeight="1">
      <c r="A32" s="3" t="s">
        <v>175</v>
      </c>
      <c r="B32" s="3" t="s">
        <v>183</v>
      </c>
      <c r="C32" s="3" t="s">
        <v>181</v>
      </c>
      <c r="D32" s="3" t="s">
        <v>112</v>
      </c>
      <c r="E32" s="3" t="s">
        <v>173</v>
      </c>
      <c r="F32" s="11">
        <v>21376.418268549758</v>
      </c>
      <c r="G32" s="11">
        <v>22410.862630120002</v>
      </c>
      <c r="H32" s="11">
        <v>1034.444361570238</v>
      </c>
      <c r="I32" s="19">
        <v>0.04839184696774853</v>
      </c>
      <c r="J32" s="11">
        <v>1965.1338268854536</v>
      </c>
      <c r="K32" s="3">
        <v>1.0</v>
      </c>
      <c r="L32" s="3" t="s">
        <v>154</v>
      </c>
      <c r="M32" s="3" t="s">
        <v>153</v>
      </c>
      <c r="N32" s="20"/>
      <c r="O32" s="3" t="s">
        <v>153</v>
      </c>
    </row>
    <row r="33" ht="42.0" customHeight="1">
      <c r="A33" s="3" t="s">
        <v>178</v>
      </c>
      <c r="B33" s="3" t="s">
        <v>183</v>
      </c>
      <c r="C33" s="3" t="s">
        <v>181</v>
      </c>
      <c r="D33" s="3" t="s">
        <v>172</v>
      </c>
      <c r="E33" s="3" t="s">
        <v>179</v>
      </c>
      <c r="F33" s="11">
        <v>25285.745232618003</v>
      </c>
      <c r="G33" s="11">
        <v>25812.45968359293</v>
      </c>
      <c r="H33" s="11">
        <v>526.7144509749232</v>
      </c>
      <c r="I33" s="19">
        <v>0.020830489516104035</v>
      </c>
      <c r="J33" s="11">
        <v>334.4538572325411</v>
      </c>
      <c r="K33" s="3">
        <v>3.0</v>
      </c>
      <c r="L33" s="3" t="s">
        <v>154</v>
      </c>
      <c r="M33" s="3" t="s">
        <v>153</v>
      </c>
      <c r="N33" s="20"/>
      <c r="O33" s="3" t="s">
        <v>153</v>
      </c>
    </row>
    <row r="34" ht="1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1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21.75" customHeight="1">
      <c r="A36" s="23" t="s">
        <v>267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1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27.0" customHeight="1">
      <c r="A38" s="25" t="s">
        <v>272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31.5" customHeight="1">
      <c r="A39" s="2" t="s">
        <v>203</v>
      </c>
      <c r="B39" s="2" t="s">
        <v>36</v>
      </c>
      <c r="C39" s="2" t="s">
        <v>35</v>
      </c>
      <c r="D39" s="2" t="s">
        <v>279</v>
      </c>
      <c r="E39" s="2" t="s">
        <v>281</v>
      </c>
      <c r="F39" s="2" t="s">
        <v>283</v>
      </c>
      <c r="G39" s="2" t="s">
        <v>284</v>
      </c>
      <c r="H39" s="2" t="s">
        <v>285</v>
      </c>
      <c r="I39" s="2" t="s">
        <v>286</v>
      </c>
      <c r="J39" s="2" t="s">
        <v>287</v>
      </c>
      <c r="K39" s="3"/>
      <c r="L39" s="3"/>
      <c r="M39" s="3"/>
      <c r="N39" s="3"/>
      <c r="O39" s="3"/>
    </row>
    <row r="40" ht="42.0" customHeight="1">
      <c r="A40" s="3" t="s">
        <v>145</v>
      </c>
      <c r="B40" s="3" t="s">
        <v>140</v>
      </c>
      <c r="C40" s="3" t="s">
        <v>199</v>
      </c>
      <c r="D40" s="11">
        <v>13360.805878640667</v>
      </c>
      <c r="E40" s="11">
        <v>763.1588920761751</v>
      </c>
      <c r="F40" s="11">
        <v>19945.94957310633</v>
      </c>
      <c r="G40" s="11">
        <v>2265.001744143447</v>
      </c>
      <c r="H40" s="15">
        <v>0.9332482249227905</v>
      </c>
      <c r="I40" s="3" t="s">
        <v>180</v>
      </c>
      <c r="J40" s="3" t="s">
        <v>153</v>
      </c>
      <c r="K40" s="3"/>
      <c r="L40" s="3"/>
      <c r="M40" s="3"/>
      <c r="N40" s="3"/>
      <c r="O40" s="3"/>
    </row>
    <row r="41" ht="42.0" customHeight="1">
      <c r="A41" s="3" t="s">
        <v>145</v>
      </c>
      <c r="B41" s="3" t="s">
        <v>183</v>
      </c>
      <c r="C41" s="3" t="s">
        <v>199</v>
      </c>
      <c r="D41" s="11">
        <v>13366.059101396513</v>
      </c>
      <c r="E41" s="11">
        <v>809.2747819386045</v>
      </c>
      <c r="F41" s="11">
        <v>19925.102849451247</v>
      </c>
      <c r="G41" s="11">
        <v>2274.1515788097245</v>
      </c>
      <c r="H41" s="15">
        <v>0.9333673930850065</v>
      </c>
      <c r="I41" s="3" t="s">
        <v>184</v>
      </c>
      <c r="J41" s="3" t="s">
        <v>153</v>
      </c>
      <c r="K41" s="3"/>
      <c r="L41" s="3"/>
      <c r="M41" s="3"/>
      <c r="N41" s="3"/>
      <c r="O41" s="3"/>
    </row>
    <row r="42" ht="42.0" customHeight="1">
      <c r="A42" s="3" t="s">
        <v>145</v>
      </c>
      <c r="B42" s="3" t="s">
        <v>124</v>
      </c>
      <c r="C42" s="3" t="s">
        <v>199</v>
      </c>
      <c r="D42" s="11">
        <v>13450.266318411383</v>
      </c>
      <c r="E42" s="11">
        <v>805.3988542639717</v>
      </c>
      <c r="F42" s="11">
        <v>20177.299314429954</v>
      </c>
      <c r="G42" s="11">
        <v>2298.4938224806815</v>
      </c>
      <c r="H42" s="15">
        <v>0.9317114574553843</v>
      </c>
      <c r="I42" s="3" t="s">
        <v>155</v>
      </c>
      <c r="J42" s="3" t="s">
        <v>153</v>
      </c>
      <c r="K42" s="3"/>
      <c r="L42" s="3"/>
      <c r="M42" s="3"/>
      <c r="N42" s="3"/>
      <c r="O42" s="3"/>
    </row>
    <row r="43" ht="42.0" customHeight="1">
      <c r="A43" s="3" t="s">
        <v>160</v>
      </c>
      <c r="B43" s="3" t="s">
        <v>140</v>
      </c>
      <c r="C43" s="3" t="s">
        <v>199</v>
      </c>
      <c r="D43" s="11">
        <v>13727.103051241906</v>
      </c>
      <c r="E43" s="11">
        <v>849.3339143721531</v>
      </c>
      <c r="F43" s="11">
        <v>21320.986636178764</v>
      </c>
      <c r="G43" s="11">
        <v>3264.2048676239597</v>
      </c>
      <c r="H43" s="15">
        <v>0.9236146848830842</v>
      </c>
      <c r="I43" s="3" t="s">
        <v>180</v>
      </c>
      <c r="J43" s="3" t="s">
        <v>153</v>
      </c>
      <c r="K43" s="3"/>
      <c r="L43" s="3"/>
      <c r="M43" s="3"/>
      <c r="N43" s="3"/>
      <c r="O43" s="3"/>
    </row>
    <row r="44" ht="42.0" customHeight="1">
      <c r="A44" s="3" t="s">
        <v>160</v>
      </c>
      <c r="B44" s="3" t="s">
        <v>183</v>
      </c>
      <c r="C44" s="3" t="s">
        <v>199</v>
      </c>
      <c r="D44" s="11">
        <v>13731.63944601807</v>
      </c>
      <c r="E44" s="11">
        <v>833.2398124064479</v>
      </c>
      <c r="F44" s="11">
        <v>21359.183379726506</v>
      </c>
      <c r="G44" s="11">
        <v>3281.8407983357606</v>
      </c>
      <c r="H44" s="15">
        <v>0.9233310404017523</v>
      </c>
      <c r="I44" s="3" t="s">
        <v>300</v>
      </c>
      <c r="J44" s="3" t="s">
        <v>153</v>
      </c>
      <c r="K44" s="3"/>
      <c r="L44" s="3"/>
      <c r="M44" s="3"/>
      <c r="N44" s="3"/>
      <c r="O44" s="3"/>
    </row>
    <row r="45" ht="42.0" customHeight="1">
      <c r="A45" s="3" t="s">
        <v>168</v>
      </c>
      <c r="B45" s="3" t="s">
        <v>140</v>
      </c>
      <c r="C45" s="3" t="s">
        <v>199</v>
      </c>
      <c r="D45" s="11">
        <v>13743.448655923527</v>
      </c>
      <c r="E45" s="11">
        <v>819.597734149968</v>
      </c>
      <c r="F45" s="11">
        <v>21061.575500353378</v>
      </c>
      <c r="G45" s="11">
        <v>2717.71298810189</v>
      </c>
      <c r="H45" s="15">
        <v>0.9255675412464412</v>
      </c>
      <c r="I45" s="3" t="s">
        <v>180</v>
      </c>
      <c r="J45" s="3" t="s">
        <v>153</v>
      </c>
      <c r="K45" s="3"/>
      <c r="L45" s="3"/>
      <c r="M45" s="3"/>
      <c r="N45" s="3"/>
      <c r="O45" s="3"/>
    </row>
    <row r="46" ht="42.0" customHeight="1">
      <c r="A46" s="3" t="s">
        <v>112</v>
      </c>
      <c r="B46" s="3" t="s">
        <v>140</v>
      </c>
      <c r="C46" s="3" t="s">
        <v>199</v>
      </c>
      <c r="D46" s="11">
        <v>13745.583714336015</v>
      </c>
      <c r="E46" s="11">
        <v>841.379280946</v>
      </c>
      <c r="F46" s="11">
        <v>21335.693580469244</v>
      </c>
      <c r="G46" s="11">
        <v>3253.478433022086</v>
      </c>
      <c r="H46" s="15">
        <v>0.9235227844020784</v>
      </c>
      <c r="I46" s="3" t="s">
        <v>180</v>
      </c>
      <c r="J46" s="3" t="s">
        <v>153</v>
      </c>
      <c r="K46" s="3"/>
      <c r="L46" s="3"/>
      <c r="M46" s="3"/>
      <c r="N46" s="3"/>
      <c r="O46" s="3"/>
    </row>
    <row r="47" ht="42.0" customHeight="1">
      <c r="A47" s="3" t="s">
        <v>112</v>
      </c>
      <c r="B47" s="3" t="s">
        <v>183</v>
      </c>
      <c r="C47" s="3" t="s">
        <v>199</v>
      </c>
      <c r="D47" s="11">
        <v>13749.643116493095</v>
      </c>
      <c r="E47" s="11">
        <v>826.7931447371741</v>
      </c>
      <c r="F47" s="11">
        <v>21376.418268549758</v>
      </c>
      <c r="G47" s="11">
        <v>3271.0720143999242</v>
      </c>
      <c r="H47" s="15">
        <v>0.9232223348990829</v>
      </c>
      <c r="I47" s="3" t="s">
        <v>300</v>
      </c>
      <c r="J47" s="3" t="s">
        <v>153</v>
      </c>
      <c r="K47" s="3"/>
      <c r="L47" s="3"/>
      <c r="M47" s="3"/>
      <c r="N47" s="3"/>
      <c r="O47" s="3"/>
    </row>
    <row r="48" ht="42.0" customHeight="1">
      <c r="A48" s="3" t="s">
        <v>168</v>
      </c>
      <c r="B48" s="3" t="s">
        <v>183</v>
      </c>
      <c r="C48" s="3" t="s">
        <v>199</v>
      </c>
      <c r="D48" s="11">
        <v>13754.188657426921</v>
      </c>
      <c r="E48" s="11">
        <v>810.2925612227008</v>
      </c>
      <c r="F48" s="11">
        <v>21105.040087361805</v>
      </c>
      <c r="G48" s="11">
        <v>2725.711302574464</v>
      </c>
      <c r="H48" s="15">
        <v>0.9252564778871999</v>
      </c>
      <c r="I48" s="3" t="s">
        <v>300</v>
      </c>
      <c r="J48" s="3" t="s">
        <v>153</v>
      </c>
      <c r="K48" s="3"/>
      <c r="L48" s="3"/>
      <c r="M48" s="3"/>
      <c r="N48" s="3"/>
      <c r="O48" s="3"/>
    </row>
    <row r="49" ht="42.0" customHeight="1">
      <c r="A49" s="3" t="s">
        <v>168</v>
      </c>
      <c r="B49" s="3" t="s">
        <v>124</v>
      </c>
      <c r="C49" s="3" t="s">
        <v>199</v>
      </c>
      <c r="D49" s="11">
        <v>13780.886087234065</v>
      </c>
      <c r="E49" s="11">
        <v>800.9911920903382</v>
      </c>
      <c r="F49" s="11">
        <v>21164.565007751607</v>
      </c>
      <c r="G49" s="11">
        <v>2689.1606744519836</v>
      </c>
      <c r="H49" s="15">
        <v>0.9248426569917296</v>
      </c>
      <c r="I49" s="3" t="s">
        <v>155</v>
      </c>
      <c r="J49" s="3" t="s">
        <v>153</v>
      </c>
      <c r="K49" s="3"/>
      <c r="L49" s="3"/>
      <c r="M49" s="3"/>
      <c r="N49" s="3"/>
      <c r="O49" s="3"/>
    </row>
    <row r="50" ht="42.0" customHeight="1">
      <c r="A50" s="3" t="s">
        <v>160</v>
      </c>
      <c r="B50" s="3" t="s">
        <v>124</v>
      </c>
      <c r="C50" s="3" t="s">
        <v>199</v>
      </c>
      <c r="D50" s="11">
        <v>13803.585910720827</v>
      </c>
      <c r="E50" s="11">
        <v>843.6444545076873</v>
      </c>
      <c r="F50" s="11">
        <v>21398.043861106722</v>
      </c>
      <c r="G50" s="11">
        <v>3176.3201715140153</v>
      </c>
      <c r="H50" s="15">
        <v>0.9230888612654891</v>
      </c>
      <c r="I50" s="3" t="s">
        <v>155</v>
      </c>
      <c r="J50" s="3" t="s">
        <v>153</v>
      </c>
      <c r="K50" s="3"/>
      <c r="L50" s="3"/>
      <c r="M50" s="3"/>
      <c r="N50" s="3"/>
      <c r="O50" s="3"/>
    </row>
    <row r="51" ht="42.0" customHeight="1">
      <c r="A51" s="3" t="s">
        <v>112</v>
      </c>
      <c r="B51" s="3" t="s">
        <v>124</v>
      </c>
      <c r="C51" s="3" t="s">
        <v>199</v>
      </c>
      <c r="D51" s="11">
        <v>13818.597084715435</v>
      </c>
      <c r="E51" s="11">
        <v>835.0374959683596</v>
      </c>
      <c r="F51" s="11">
        <v>21399.6610319092</v>
      </c>
      <c r="G51" s="11">
        <v>3168.762777688567</v>
      </c>
      <c r="H51" s="15">
        <v>0.9230847759274161</v>
      </c>
      <c r="I51" s="3" t="s">
        <v>155</v>
      </c>
      <c r="J51" s="3" t="s">
        <v>153</v>
      </c>
      <c r="K51" s="3"/>
      <c r="L51" s="3"/>
      <c r="M51" s="3"/>
      <c r="N51" s="3"/>
      <c r="O51" s="3"/>
    </row>
    <row r="52" ht="42.0" customHeight="1">
      <c r="A52" s="3" t="s">
        <v>158</v>
      </c>
      <c r="B52" s="3" t="s">
        <v>140</v>
      </c>
      <c r="C52" s="3" t="s">
        <v>199</v>
      </c>
      <c r="D52" s="11">
        <v>14133.04701288277</v>
      </c>
      <c r="E52" s="11">
        <v>805.5203578631412</v>
      </c>
      <c r="F52" s="11">
        <v>21633.9006329438</v>
      </c>
      <c r="G52" s="11">
        <v>3049.13047250442</v>
      </c>
      <c r="H52" s="15">
        <v>0.9214770885365067</v>
      </c>
      <c r="I52" s="3" t="s">
        <v>180</v>
      </c>
      <c r="J52" s="3" t="s">
        <v>153</v>
      </c>
      <c r="K52" s="3"/>
      <c r="L52" s="3"/>
      <c r="M52" s="3"/>
      <c r="N52" s="3"/>
      <c r="O52" s="3"/>
    </row>
    <row r="53" ht="42.0" customHeight="1">
      <c r="A53" s="3" t="s">
        <v>158</v>
      </c>
      <c r="B53" s="3" t="s">
        <v>183</v>
      </c>
      <c r="C53" s="3" t="s">
        <v>199</v>
      </c>
      <c r="D53" s="11">
        <v>14135.654255131896</v>
      </c>
      <c r="E53" s="11">
        <v>793.3902504121999</v>
      </c>
      <c r="F53" s="11">
        <v>21678.358105092175</v>
      </c>
      <c r="G53" s="11">
        <v>3067.5088570556063</v>
      </c>
      <c r="H53" s="15">
        <v>0.9211505639991252</v>
      </c>
      <c r="I53" s="3" t="s">
        <v>300</v>
      </c>
      <c r="J53" s="3" t="s">
        <v>153</v>
      </c>
      <c r="K53" s="3"/>
      <c r="L53" s="3"/>
      <c r="M53" s="3"/>
      <c r="N53" s="3"/>
      <c r="O53" s="3"/>
    </row>
    <row r="54" ht="42.0" customHeight="1">
      <c r="A54" s="3" t="s">
        <v>158</v>
      </c>
      <c r="B54" s="3" t="s">
        <v>124</v>
      </c>
      <c r="C54" s="3" t="s">
        <v>199</v>
      </c>
      <c r="D54" s="11">
        <v>14150.57807460828</v>
      </c>
      <c r="E54" s="11">
        <v>768.1380861180767</v>
      </c>
      <c r="F54" s="11">
        <v>21638.61684027548</v>
      </c>
      <c r="G54" s="11">
        <v>2922.7990387698637</v>
      </c>
      <c r="H54" s="15">
        <v>0.9214446966936662</v>
      </c>
      <c r="I54" s="3" t="s">
        <v>155</v>
      </c>
      <c r="J54" s="3" t="s">
        <v>153</v>
      </c>
      <c r="K54" s="3"/>
      <c r="L54" s="3"/>
      <c r="M54" s="3"/>
      <c r="N54" s="3"/>
      <c r="O54" s="3"/>
    </row>
    <row r="55" ht="42.0" customHeight="1">
      <c r="A55" s="3" t="s">
        <v>173</v>
      </c>
      <c r="B55" s="3" t="s">
        <v>140</v>
      </c>
      <c r="C55" s="3" t="s">
        <v>199</v>
      </c>
      <c r="D55" s="11">
        <v>15710.491015592037</v>
      </c>
      <c r="E55" s="11">
        <v>1193.4374830082663</v>
      </c>
      <c r="F55" s="11">
        <v>22404.987486799982</v>
      </c>
      <c r="G55" s="11">
        <v>2078.439165241629</v>
      </c>
      <c r="H55" s="15">
        <v>0.9157673233780006</v>
      </c>
      <c r="I55" s="3" t="s">
        <v>180</v>
      </c>
      <c r="J55" s="3" t="s">
        <v>153</v>
      </c>
      <c r="K55" s="3"/>
      <c r="L55" s="3"/>
      <c r="M55" s="3"/>
      <c r="N55" s="3"/>
      <c r="O55" s="3"/>
    </row>
    <row r="56" ht="42.0" customHeight="1">
      <c r="A56" s="3" t="s">
        <v>173</v>
      </c>
      <c r="B56" s="3" t="s">
        <v>183</v>
      </c>
      <c r="C56" s="3" t="s">
        <v>199</v>
      </c>
      <c r="D56" s="11">
        <v>15714.776943378547</v>
      </c>
      <c r="E56" s="11">
        <v>1188.1214678646786</v>
      </c>
      <c r="F56" s="11">
        <v>22410.862630120002</v>
      </c>
      <c r="G56" s="11">
        <v>2081.8196866411195</v>
      </c>
      <c r="H56" s="15">
        <v>0.9157156072274782</v>
      </c>
      <c r="I56" s="3" t="s">
        <v>300</v>
      </c>
      <c r="J56" s="3" t="s">
        <v>153</v>
      </c>
      <c r="K56" s="3"/>
      <c r="L56" s="3"/>
      <c r="M56" s="3"/>
      <c r="N56" s="3"/>
      <c r="O56" s="3"/>
    </row>
    <row r="57" ht="42.0" customHeight="1">
      <c r="A57" s="3" t="s">
        <v>173</v>
      </c>
      <c r="B57" s="3" t="s">
        <v>124</v>
      </c>
      <c r="C57" s="3" t="s">
        <v>199</v>
      </c>
      <c r="D57" s="11">
        <v>15762.499846603529</v>
      </c>
      <c r="E57" s="11">
        <v>1183.431022487607</v>
      </c>
      <c r="F57" s="11">
        <v>22523.76599292459</v>
      </c>
      <c r="G57" s="11">
        <v>2117.56196559014</v>
      </c>
      <c r="H57" s="15">
        <v>0.9149034662052806</v>
      </c>
      <c r="I57" s="3" t="s">
        <v>155</v>
      </c>
      <c r="J57" s="3" t="s">
        <v>153</v>
      </c>
      <c r="K57" s="3"/>
      <c r="L57" s="3"/>
      <c r="M57" s="3"/>
      <c r="N57" s="3"/>
      <c r="O57" s="3"/>
    </row>
    <row r="58" ht="42.0" customHeight="1">
      <c r="A58" s="3" t="s">
        <v>350</v>
      </c>
      <c r="B58" s="3" t="s">
        <v>183</v>
      </c>
      <c r="C58" s="3" t="s">
        <v>199</v>
      </c>
      <c r="D58" s="11">
        <v>16429.478562351367</v>
      </c>
      <c r="E58" s="11">
        <v>1038.050934627341</v>
      </c>
      <c r="F58" s="11">
        <v>24449.567778086202</v>
      </c>
      <c r="G58" s="11">
        <v>2768.192552699282</v>
      </c>
      <c r="H58" s="15">
        <v>0.8997279320456887</v>
      </c>
      <c r="I58" s="3" t="s">
        <v>353</v>
      </c>
      <c r="J58" s="3" t="s">
        <v>153</v>
      </c>
      <c r="K58" s="3"/>
      <c r="L58" s="3"/>
      <c r="M58" s="3"/>
      <c r="N58" s="3"/>
      <c r="O58" s="3"/>
    </row>
    <row r="59" ht="42.0" customHeight="1">
      <c r="A59" s="3" t="s">
        <v>350</v>
      </c>
      <c r="B59" s="3" t="s">
        <v>140</v>
      </c>
      <c r="C59" s="3" t="s">
        <v>199</v>
      </c>
      <c r="D59" s="11">
        <v>16432.780477087326</v>
      </c>
      <c r="E59" s="11">
        <v>1044.8030681456846</v>
      </c>
      <c r="F59" s="11">
        <v>24477.708874216663</v>
      </c>
      <c r="G59" s="11">
        <v>2787.74453975496</v>
      </c>
      <c r="H59" s="15">
        <v>0.899491350995758</v>
      </c>
      <c r="I59" s="3" t="s">
        <v>357</v>
      </c>
      <c r="J59" s="3" t="s">
        <v>153</v>
      </c>
      <c r="K59" s="3"/>
      <c r="L59" s="3"/>
      <c r="M59" s="3"/>
      <c r="N59" s="3"/>
      <c r="O59" s="3"/>
    </row>
    <row r="60" ht="42.0" customHeight="1">
      <c r="A60" s="3" t="s">
        <v>350</v>
      </c>
      <c r="B60" s="3" t="s">
        <v>124</v>
      </c>
      <c r="C60" s="3" t="s">
        <v>199</v>
      </c>
      <c r="D60" s="11">
        <v>16506.913629617975</v>
      </c>
      <c r="E60" s="11">
        <v>847.4864436940692</v>
      </c>
      <c r="F60" s="11">
        <v>24257.052704264057</v>
      </c>
      <c r="G60" s="11">
        <v>2359.1424550335787</v>
      </c>
      <c r="H60" s="15">
        <v>0.9013780543351381</v>
      </c>
      <c r="I60" s="3" t="s">
        <v>155</v>
      </c>
      <c r="J60" s="3" t="s">
        <v>153</v>
      </c>
      <c r="K60" s="3"/>
      <c r="L60" s="3"/>
      <c r="M60" s="3"/>
      <c r="N60" s="3"/>
      <c r="O60" s="3"/>
    </row>
    <row r="61" ht="42.0" customHeight="1">
      <c r="A61" s="3" t="s">
        <v>172</v>
      </c>
      <c r="B61" s="3" t="s">
        <v>124</v>
      </c>
      <c r="C61" s="3" t="s">
        <v>199</v>
      </c>
      <c r="D61" s="11">
        <v>16932.82039979383</v>
      </c>
      <c r="E61" s="11">
        <v>1189.7862226045409</v>
      </c>
      <c r="F61" s="11">
        <v>25284.68098201951</v>
      </c>
      <c r="G61" s="11">
        <v>2835.6461165311616</v>
      </c>
      <c r="H61" s="15">
        <v>0.8927691413420522</v>
      </c>
      <c r="I61" s="3" t="s">
        <v>363</v>
      </c>
      <c r="J61" s="3" t="s">
        <v>153</v>
      </c>
      <c r="K61" s="3"/>
      <c r="L61" s="3"/>
      <c r="M61" s="3"/>
      <c r="N61" s="3"/>
      <c r="O61" s="3"/>
    </row>
    <row r="62" ht="42.0" customHeight="1">
      <c r="A62" s="3" t="s">
        <v>172</v>
      </c>
      <c r="B62" s="3" t="s">
        <v>140</v>
      </c>
      <c r="C62" s="3" t="s">
        <v>199</v>
      </c>
      <c r="D62" s="11">
        <v>16963.112720468594</v>
      </c>
      <c r="E62" s="11">
        <v>1279.173586613636</v>
      </c>
      <c r="F62" s="11">
        <v>25290.406034945638</v>
      </c>
      <c r="G62" s="11">
        <v>2924.1665220224813</v>
      </c>
      <c r="H62" s="15">
        <v>0.8926879604636415</v>
      </c>
      <c r="I62" s="3" t="s">
        <v>180</v>
      </c>
      <c r="J62" s="3" t="s">
        <v>153</v>
      </c>
      <c r="K62" s="3"/>
      <c r="L62" s="3"/>
      <c r="M62" s="3"/>
      <c r="N62" s="3"/>
      <c r="O62" s="3"/>
    </row>
    <row r="63" ht="42.0" customHeight="1">
      <c r="A63" s="3" t="s">
        <v>172</v>
      </c>
      <c r="B63" s="3" t="s">
        <v>183</v>
      </c>
      <c r="C63" s="3" t="s">
        <v>199</v>
      </c>
      <c r="D63" s="11">
        <v>16966.268256694355</v>
      </c>
      <c r="E63" s="11">
        <v>1268.7807911093066</v>
      </c>
      <c r="F63" s="11">
        <v>25285.745232618003</v>
      </c>
      <c r="G63" s="11">
        <v>2906.039733692259</v>
      </c>
      <c r="H63" s="15">
        <v>0.8927273044336724</v>
      </c>
      <c r="I63" s="3" t="s">
        <v>300</v>
      </c>
      <c r="J63" s="3" t="s">
        <v>153</v>
      </c>
      <c r="K63" s="3"/>
      <c r="L63" s="3"/>
      <c r="M63" s="3"/>
      <c r="N63" s="3"/>
      <c r="O63" s="3"/>
    </row>
    <row r="64" ht="42.0" customHeight="1">
      <c r="A64" s="3" t="s">
        <v>179</v>
      </c>
      <c r="B64" s="3" t="s">
        <v>124</v>
      </c>
      <c r="C64" s="3" t="s">
        <v>199</v>
      </c>
      <c r="D64" s="11">
        <v>17282.830232493594</v>
      </c>
      <c r="E64" s="11">
        <v>617.4215794979146</v>
      </c>
      <c r="F64" s="11">
        <v>25789.090799814283</v>
      </c>
      <c r="G64" s="11">
        <v>2298.9676519853297</v>
      </c>
      <c r="H64" s="15">
        <v>0.8883529848931513</v>
      </c>
      <c r="I64" s="3" t="s">
        <v>363</v>
      </c>
      <c r="J64" s="3" t="s">
        <v>153</v>
      </c>
      <c r="K64" s="3"/>
      <c r="L64" s="3"/>
      <c r="M64" s="3"/>
      <c r="N64" s="3"/>
      <c r="O64" s="3"/>
    </row>
    <row r="65" ht="42.0" customHeight="1">
      <c r="A65" s="3" t="s">
        <v>179</v>
      </c>
      <c r="B65" s="3" t="s">
        <v>183</v>
      </c>
      <c r="C65" s="3" t="s">
        <v>199</v>
      </c>
      <c r="D65" s="11">
        <v>17300.722113926895</v>
      </c>
      <c r="E65" s="11">
        <v>655.6413944684743</v>
      </c>
      <c r="F65" s="11">
        <v>25812.45968359293</v>
      </c>
      <c r="G65" s="11">
        <v>2261.8514785757943</v>
      </c>
      <c r="H65" s="15">
        <v>0.8881045351835832</v>
      </c>
      <c r="I65" s="3" t="s">
        <v>373</v>
      </c>
      <c r="J65" s="3" t="s">
        <v>153</v>
      </c>
      <c r="K65" s="3"/>
      <c r="L65" s="3"/>
      <c r="M65" s="3"/>
      <c r="N65" s="3"/>
      <c r="O65" s="3"/>
    </row>
    <row r="66" ht="42.0" customHeight="1">
      <c r="A66" s="3" t="s">
        <v>179</v>
      </c>
      <c r="B66" s="3" t="s">
        <v>140</v>
      </c>
      <c r="C66" s="3" t="s">
        <v>199</v>
      </c>
      <c r="D66" s="11">
        <v>17304.54672031766</v>
      </c>
      <c r="E66" s="11">
        <v>662.3528245136899</v>
      </c>
      <c r="F66" s="11">
        <v>25823.07926149065</v>
      </c>
      <c r="G66" s="11">
        <v>2259.972051920212</v>
      </c>
      <c r="H66" s="15">
        <v>0.888006626551805</v>
      </c>
      <c r="I66" s="3" t="s">
        <v>375</v>
      </c>
      <c r="J66" s="3" t="s">
        <v>153</v>
      </c>
      <c r="K66" s="3"/>
      <c r="L66" s="3"/>
      <c r="M66" s="3"/>
      <c r="N66" s="3"/>
      <c r="O66" s="3"/>
    </row>
    <row r="67" ht="1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21.75" customHeight="1">
      <c r="A69" s="23" t="s">
        <v>379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4.0"/>
    <col customWidth="1" min="2" max="4" width="24.0"/>
    <col customWidth="1" min="5" max="5" width="23.0"/>
    <col customWidth="1" min="6" max="6" width="31.0"/>
    <col customWidth="1" min="7" max="7" width="23.0"/>
    <col customWidth="1" min="8" max="8" width="22.0"/>
    <col customWidth="1" min="9" max="9" width="25.0"/>
    <col customWidth="1" min="10" max="10" width="69.0"/>
    <col customWidth="1" min="11" max="11" width="25.0"/>
  </cols>
  <sheetData>
    <row r="1" ht="12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ht="24.75" customHeight="1">
      <c r="A2" s="14" t="s">
        <v>216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21.75" customHeight="1">
      <c r="A3" s="17" t="s">
        <v>218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12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31.5" customHeight="1">
      <c r="A5" s="2" t="s">
        <v>117</v>
      </c>
      <c r="B5" s="2" t="s">
        <v>219</v>
      </c>
      <c r="C5" s="2" t="s">
        <v>220</v>
      </c>
      <c r="D5" s="2" t="s">
        <v>221</v>
      </c>
      <c r="E5" s="2" t="s">
        <v>223</v>
      </c>
      <c r="F5" s="2" t="s">
        <v>225</v>
      </c>
      <c r="G5" s="2" t="s">
        <v>226</v>
      </c>
      <c r="H5" s="3"/>
      <c r="I5" s="3"/>
      <c r="J5" s="3"/>
      <c r="K5" s="3"/>
    </row>
    <row r="6" ht="42.0" customHeight="1">
      <c r="A6" s="3" t="s">
        <v>227</v>
      </c>
      <c r="B6" s="11">
        <v>-1961.1130875027516</v>
      </c>
      <c r="C6" s="11">
        <v>-3846.866141121647</v>
      </c>
      <c r="D6" s="11">
        <v>-399.02415234566035</v>
      </c>
      <c r="E6" s="15">
        <v>0.016998300169983</v>
      </c>
      <c r="F6" s="3">
        <v>5000.0</v>
      </c>
      <c r="G6" s="3">
        <v>10000.0</v>
      </c>
      <c r="H6" s="3"/>
      <c r="I6" s="3"/>
      <c r="J6" s="3"/>
      <c r="K6" s="3"/>
    </row>
    <row r="7" ht="12.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ht="21.75" customHeight="1">
      <c r="A8" s="23" t="s">
        <v>230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ht="12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31.5" customHeight="1">
      <c r="A10" s="2" t="s">
        <v>234</v>
      </c>
      <c r="B10" s="2" t="s">
        <v>235</v>
      </c>
      <c r="C10" s="2" t="s">
        <v>236</v>
      </c>
      <c r="D10" s="3"/>
      <c r="E10" s="3"/>
      <c r="F10" s="3"/>
      <c r="G10" s="3"/>
      <c r="H10" s="3"/>
      <c r="I10" s="3"/>
      <c r="J10" s="3"/>
      <c r="K10" s="3"/>
    </row>
    <row r="11" ht="42.0" customHeight="1">
      <c r="A11" s="3" t="s">
        <v>238</v>
      </c>
      <c r="B11" s="3">
        <v>214.0</v>
      </c>
      <c r="C11" s="3" t="s">
        <v>240</v>
      </c>
      <c r="D11" s="3"/>
      <c r="E11" s="3"/>
      <c r="F11" s="3"/>
      <c r="G11" s="3"/>
      <c r="H11" s="3"/>
      <c r="I11" s="3"/>
      <c r="J11" s="3"/>
      <c r="K11" s="3"/>
    </row>
    <row r="12" ht="42.0" customHeight="1">
      <c r="A12" s="3" t="s">
        <v>242</v>
      </c>
      <c r="B12" s="3">
        <v>109.0</v>
      </c>
      <c r="C12" s="3" t="s">
        <v>243</v>
      </c>
      <c r="D12" s="3"/>
      <c r="E12" s="3"/>
      <c r="F12" s="3"/>
      <c r="G12" s="3"/>
      <c r="H12" s="3"/>
      <c r="I12" s="3"/>
      <c r="J12" s="3"/>
      <c r="K12" s="3"/>
    </row>
    <row r="13" ht="42.0" customHeight="1">
      <c r="A13" s="3" t="s">
        <v>245</v>
      </c>
      <c r="B13" s="3">
        <v>29.0</v>
      </c>
      <c r="C13" s="3" t="s">
        <v>247</v>
      </c>
      <c r="D13" s="3"/>
      <c r="E13" s="3"/>
      <c r="F13" s="3"/>
      <c r="G13" s="3"/>
      <c r="H13" s="3"/>
      <c r="I13" s="3"/>
      <c r="J13" s="3"/>
      <c r="K13" s="3"/>
    </row>
    <row r="14" ht="42.0" customHeight="1">
      <c r="A14" s="3" t="s">
        <v>248</v>
      </c>
      <c r="B14" s="3">
        <v>28.0</v>
      </c>
      <c r="C14" s="3" t="s">
        <v>249</v>
      </c>
      <c r="D14" s="3"/>
      <c r="E14" s="3"/>
      <c r="F14" s="3"/>
      <c r="G14" s="3"/>
      <c r="H14" s="3"/>
      <c r="I14" s="3"/>
      <c r="J14" s="3"/>
      <c r="K14" s="3"/>
    </row>
    <row r="15" ht="42.0" customHeight="1">
      <c r="A15" s="3" t="s">
        <v>253</v>
      </c>
      <c r="B15" s="3">
        <v>0.0</v>
      </c>
      <c r="C15" s="3" t="s">
        <v>256</v>
      </c>
      <c r="D15" s="3"/>
      <c r="E15" s="3"/>
      <c r="F15" s="3"/>
      <c r="G15" s="3"/>
      <c r="H15" s="3"/>
      <c r="I15" s="3"/>
      <c r="J15" s="3"/>
      <c r="K15" s="3"/>
    </row>
    <row r="16" ht="42.0" customHeight="1">
      <c r="A16" s="3" t="s">
        <v>259</v>
      </c>
      <c r="B16" s="24">
        <v>0.2137862137862138</v>
      </c>
      <c r="C16" s="3" t="s">
        <v>263</v>
      </c>
      <c r="D16" s="3"/>
      <c r="E16" s="3"/>
      <c r="F16" s="3"/>
      <c r="G16" s="3"/>
      <c r="H16" s="3"/>
      <c r="I16" s="3"/>
      <c r="J16" s="3"/>
      <c r="K16" s="3"/>
    </row>
    <row r="17" ht="42.0" customHeight="1">
      <c r="A17" s="3" t="s">
        <v>265</v>
      </c>
      <c r="B17" s="3">
        <v>159.0</v>
      </c>
      <c r="C17" s="3" t="s">
        <v>266</v>
      </c>
      <c r="D17" s="3"/>
      <c r="E17" s="3"/>
      <c r="F17" s="3"/>
      <c r="G17" s="3"/>
      <c r="H17" s="3"/>
      <c r="I17" s="3"/>
      <c r="J17" s="3"/>
      <c r="K17" s="3"/>
    </row>
    <row r="18" ht="12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2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7.0" customHeight="1">
      <c r="A20" s="25" t="s">
        <v>270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31.5" customHeight="1">
      <c r="A21" s="2" t="s">
        <v>36</v>
      </c>
      <c r="B21" s="2" t="s">
        <v>274</v>
      </c>
      <c r="C21" s="2" t="s">
        <v>275</v>
      </c>
      <c r="D21" s="2" t="s">
        <v>276</v>
      </c>
      <c r="E21" s="2" t="s">
        <v>277</v>
      </c>
      <c r="F21" s="2" t="s">
        <v>278</v>
      </c>
      <c r="G21" s="2" t="s">
        <v>280</v>
      </c>
      <c r="H21" s="2" t="s">
        <v>282</v>
      </c>
      <c r="I21" s="3"/>
      <c r="J21" s="3"/>
      <c r="K21" s="3"/>
    </row>
    <row r="22" ht="42.0" customHeight="1">
      <c r="A22" s="3" t="s">
        <v>183</v>
      </c>
      <c r="B22" s="26">
        <v>209.8</v>
      </c>
      <c r="C22" s="26">
        <v>22.6</v>
      </c>
      <c r="D22" s="26">
        <v>113.4</v>
      </c>
      <c r="E22" s="20">
        <v>0.5405559268740457</v>
      </c>
      <c r="F22" s="15">
        <v>0.960367241722674</v>
      </c>
      <c r="G22" s="15">
        <v>0.6714780499260241</v>
      </c>
      <c r="H22" s="15">
        <v>1.0</v>
      </c>
      <c r="I22" s="3"/>
      <c r="J22" s="3"/>
      <c r="K22" s="3"/>
    </row>
    <row r="23" ht="42.0" customHeight="1">
      <c r="A23" s="3" t="s">
        <v>140</v>
      </c>
      <c r="B23" s="26">
        <v>209.8</v>
      </c>
      <c r="C23" s="26">
        <v>22.6</v>
      </c>
      <c r="D23" s="26">
        <v>107.8</v>
      </c>
      <c r="E23" s="20">
        <v>0.513918655663917</v>
      </c>
      <c r="F23" s="15">
        <v>0.9538170007399701</v>
      </c>
      <c r="G23" s="15">
        <v>0.6653901834825013</v>
      </c>
      <c r="H23" s="15">
        <v>1.0</v>
      </c>
      <c r="I23" s="3"/>
      <c r="J23" s="3"/>
      <c r="K23" s="3"/>
    </row>
    <row r="24" ht="42.0" customHeight="1">
      <c r="A24" s="3" t="s">
        <v>124</v>
      </c>
      <c r="B24" s="26">
        <v>209.8</v>
      </c>
      <c r="C24" s="26">
        <v>22.6</v>
      </c>
      <c r="D24" s="26">
        <v>209.8</v>
      </c>
      <c r="E24" s="20">
        <v>1.0</v>
      </c>
      <c r="F24" s="15">
        <v>0.9606784354981741</v>
      </c>
      <c r="G24" s="15">
        <v>0.9607476635514018</v>
      </c>
      <c r="H24" s="15">
        <v>1.0</v>
      </c>
      <c r="I24" s="3"/>
      <c r="J24" s="3"/>
      <c r="K24" s="3"/>
    </row>
    <row r="25" ht="12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1.75" customHeight="1">
      <c r="A26" s="23" t="s">
        <v>291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2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7.0" customHeight="1">
      <c r="A28" s="25" t="s">
        <v>292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31.5" customHeight="1">
      <c r="A29" s="2" t="s">
        <v>294</v>
      </c>
      <c r="B29" s="2" t="s">
        <v>295</v>
      </c>
      <c r="C29" s="2" t="s">
        <v>296</v>
      </c>
      <c r="D29" s="2" t="s">
        <v>297</v>
      </c>
      <c r="E29" s="2" t="s">
        <v>298</v>
      </c>
      <c r="F29" s="2" t="s">
        <v>299</v>
      </c>
      <c r="G29" s="2" t="s">
        <v>301</v>
      </c>
      <c r="H29" s="2" t="s">
        <v>302</v>
      </c>
      <c r="I29" s="2" t="s">
        <v>303</v>
      </c>
      <c r="J29" s="2" t="s">
        <v>304</v>
      </c>
      <c r="K29" s="2" t="s">
        <v>305</v>
      </c>
    </row>
    <row r="30" ht="39.75" customHeight="1">
      <c r="A30" s="3" t="s">
        <v>306</v>
      </c>
      <c r="B30" s="27">
        <v>5.534173974471751E-5</v>
      </c>
      <c r="C30" s="27">
        <v>6.086584077831203E-5</v>
      </c>
      <c r="D30" s="27">
        <v>-0.007238736695007826</v>
      </c>
      <c r="E30" s="27">
        <v>0.009466730217527934</v>
      </c>
      <c r="F30" s="15">
        <v>0.985014985014985</v>
      </c>
      <c r="G30" s="15">
        <v>1.0</v>
      </c>
      <c r="H30" s="28">
        <v>3.5257700684173505</v>
      </c>
      <c r="I30" s="3" t="s">
        <v>308</v>
      </c>
      <c r="J30" s="3" t="s">
        <v>309</v>
      </c>
      <c r="K30" s="15">
        <v>6.086769314118054E-5</v>
      </c>
    </row>
    <row r="31" ht="39.75" customHeight="1">
      <c r="A31" s="3" t="s">
        <v>310</v>
      </c>
      <c r="B31" s="27">
        <v>0.03181784075857592</v>
      </c>
      <c r="C31" s="27">
        <v>0.03796061997730884</v>
      </c>
      <c r="D31" s="27">
        <v>0.027252784885809494</v>
      </c>
      <c r="E31" s="27">
        <v>0.04922662217640919</v>
      </c>
      <c r="F31" s="15">
        <v>9.99000999000999E-4</v>
      </c>
      <c r="G31" s="15">
        <v>0.2137862137862138</v>
      </c>
      <c r="H31" s="28">
        <v>4.938459550846447</v>
      </c>
      <c r="I31" s="3" t="s">
        <v>308</v>
      </c>
      <c r="J31" s="3" t="s">
        <v>309</v>
      </c>
      <c r="K31" s="15">
        <v>0.038690328424391414</v>
      </c>
    </row>
    <row r="32" ht="39.75" customHeight="1">
      <c r="A32" s="3" t="s">
        <v>311</v>
      </c>
      <c r="B32" s="27">
        <v>0.0</v>
      </c>
      <c r="C32" s="27">
        <v>0.0</v>
      </c>
      <c r="D32" s="27">
        <v>0.0</v>
      </c>
      <c r="E32" s="27">
        <v>0.0</v>
      </c>
      <c r="F32" s="15">
        <v>1.0</v>
      </c>
      <c r="G32" s="15">
        <v>1.0</v>
      </c>
      <c r="H32" s="28">
        <v>1.6031309569075665</v>
      </c>
      <c r="I32" s="3" t="s">
        <v>308</v>
      </c>
      <c r="J32" s="3" t="s">
        <v>309</v>
      </c>
      <c r="K32" s="15">
        <v>0.0</v>
      </c>
    </row>
    <row r="33" ht="39.75" customHeight="1">
      <c r="A33" s="3" t="s">
        <v>312</v>
      </c>
      <c r="B33" s="27">
        <v>0.012621746744728185</v>
      </c>
      <c r="C33" s="27">
        <v>0.002917686726578458</v>
      </c>
      <c r="D33" s="27">
        <v>-7.026873914178607E-5</v>
      </c>
      <c r="E33" s="27">
        <v>0.009160860211129399</v>
      </c>
      <c r="F33" s="15">
        <v>0.41858141858141856</v>
      </c>
      <c r="G33" s="15">
        <v>1.0</v>
      </c>
      <c r="H33" s="28">
        <v>1.9606959771284214</v>
      </c>
      <c r="I33" s="3" t="s">
        <v>308</v>
      </c>
      <c r="J33" s="3" t="s">
        <v>309</v>
      </c>
      <c r="K33" s="15">
        <v>0.0029219473171775354</v>
      </c>
    </row>
    <row r="34" ht="39.75" customHeight="1">
      <c r="A34" s="3" t="s">
        <v>314</v>
      </c>
      <c r="B34" s="27">
        <v>-2.5034544885425118E-5</v>
      </c>
      <c r="C34" s="27">
        <v>-1.6556459979655262E-5</v>
      </c>
      <c r="D34" s="27">
        <v>-0.006871793853779458</v>
      </c>
      <c r="E34" s="27">
        <v>0.005019301460952661</v>
      </c>
      <c r="F34" s="15">
        <v>0.998001998001998</v>
      </c>
      <c r="G34" s="15">
        <v>1.0</v>
      </c>
      <c r="H34" s="28">
        <v>1.7706217017783656</v>
      </c>
      <c r="I34" s="3" t="s">
        <v>308</v>
      </c>
      <c r="J34" s="3" t="s">
        <v>309</v>
      </c>
      <c r="K34" s="15">
        <v>-1.655632292222813E-5</v>
      </c>
    </row>
    <row r="35" ht="39.75" customHeight="1">
      <c r="A35" s="3" t="s">
        <v>315</v>
      </c>
      <c r="B35" s="27">
        <v>9.151506350683761E-4</v>
      </c>
      <c r="C35" s="27">
        <v>1.2795827378866457E-4</v>
      </c>
      <c r="D35" s="27">
        <v>0.0</v>
      </c>
      <c r="E35" s="27">
        <v>0.00518530865582513</v>
      </c>
      <c r="F35" s="15">
        <v>0.958041958041958</v>
      </c>
      <c r="G35" s="15">
        <v>1.0</v>
      </c>
      <c r="H35" s="28">
        <v>2.8184512747728614</v>
      </c>
      <c r="I35" s="3" t="s">
        <v>308</v>
      </c>
      <c r="J35" s="3" t="s">
        <v>309</v>
      </c>
      <c r="K35" s="15">
        <v>1.2796646079777486E-4</v>
      </c>
    </row>
    <row r="36" ht="39.75" customHeight="1">
      <c r="A36" s="3" t="s">
        <v>316</v>
      </c>
      <c r="B36" s="27">
        <v>0.05306846653841207</v>
      </c>
      <c r="C36" s="27">
        <v>0.036052797577748985</v>
      </c>
      <c r="D36" s="27">
        <v>0.01799435180151534</v>
      </c>
      <c r="E36" s="27">
        <v>0.04992655378499909</v>
      </c>
      <c r="F36" s="15">
        <v>9.99000999000999E-4</v>
      </c>
      <c r="G36" s="15">
        <v>0.2137862137862138</v>
      </c>
      <c r="H36" s="28">
        <v>11.52640429763518</v>
      </c>
      <c r="I36" s="3" t="s">
        <v>308</v>
      </c>
      <c r="J36" s="3" t="s">
        <v>309</v>
      </c>
      <c r="K36" s="15">
        <v>0.03671058085348594</v>
      </c>
    </row>
    <row r="37" ht="39.75" customHeight="1">
      <c r="A37" s="3" t="s">
        <v>319</v>
      </c>
      <c r="B37" s="27">
        <v>0.04170039779167686</v>
      </c>
      <c r="C37" s="27">
        <v>0.046549210794714295</v>
      </c>
      <c r="D37" s="27">
        <v>0.037915004329904745</v>
      </c>
      <c r="E37" s="27">
        <v>0.055782469452923845</v>
      </c>
      <c r="F37" s="15">
        <v>9.99000999000999E-4</v>
      </c>
      <c r="G37" s="15">
        <v>0.2137862137862138</v>
      </c>
      <c r="H37" s="28">
        <v>2.486431721022892</v>
      </c>
      <c r="I37" s="3" t="s">
        <v>308</v>
      </c>
      <c r="J37" s="3" t="s">
        <v>309</v>
      </c>
      <c r="K37" s="15">
        <v>0.04764963347105208</v>
      </c>
    </row>
    <row r="38" ht="39.75" customHeight="1">
      <c r="A38" s="3" t="s">
        <v>321</v>
      </c>
      <c r="B38" s="27">
        <v>0.10994424621108431</v>
      </c>
      <c r="C38" s="27">
        <v>0.0702068475044709</v>
      </c>
      <c r="D38" s="27">
        <v>0.05002344614676559</v>
      </c>
      <c r="E38" s="27">
        <v>0.08816131347145638</v>
      </c>
      <c r="F38" s="15">
        <v>9.99000999000999E-4</v>
      </c>
      <c r="G38" s="15">
        <v>0.2137862137862138</v>
      </c>
      <c r="H38" s="28">
        <v>16.976219331096967</v>
      </c>
      <c r="I38" s="3" t="s">
        <v>308</v>
      </c>
      <c r="J38" s="3" t="s">
        <v>309</v>
      </c>
      <c r="K38" s="15">
        <v>0.07273004984072419</v>
      </c>
    </row>
    <row r="39" ht="39.75" customHeight="1">
      <c r="A39" s="3" t="s">
        <v>322</v>
      </c>
      <c r="B39" s="27">
        <v>0.03285316128158269</v>
      </c>
      <c r="C39" s="27">
        <v>0.01791424671573901</v>
      </c>
      <c r="D39" s="27">
        <v>0.007270307303835838</v>
      </c>
      <c r="E39" s="27">
        <v>0.027945440715228528</v>
      </c>
      <c r="F39" s="15">
        <v>9.99000999000999E-4</v>
      </c>
      <c r="G39" s="15">
        <v>0.2137862137862138</v>
      </c>
      <c r="H39" s="28">
        <v>3.549087655842285</v>
      </c>
      <c r="I39" s="3" t="s">
        <v>308</v>
      </c>
      <c r="J39" s="3" t="s">
        <v>309</v>
      </c>
      <c r="K39" s="15">
        <v>0.018075669314143134</v>
      </c>
    </row>
    <row r="40" ht="39.75" customHeight="1">
      <c r="A40" s="3" t="s">
        <v>332</v>
      </c>
      <c r="B40" s="27">
        <v>0.0</v>
      </c>
      <c r="C40" s="27">
        <v>0.0</v>
      </c>
      <c r="D40" s="27">
        <v>-0.003291765555674521</v>
      </c>
      <c r="E40" s="27">
        <v>0.011404427419306624</v>
      </c>
      <c r="F40" s="15">
        <v>1.0</v>
      </c>
      <c r="G40" s="15">
        <v>1.0</v>
      </c>
      <c r="H40" s="28">
        <v>16.338084199341132</v>
      </c>
      <c r="I40" s="3" t="s">
        <v>308</v>
      </c>
      <c r="J40" s="3" t="s">
        <v>309</v>
      </c>
      <c r="K40" s="15">
        <v>0.0</v>
      </c>
    </row>
    <row r="41" ht="39.75" customHeight="1">
      <c r="A41" s="3" t="s">
        <v>335</v>
      </c>
      <c r="B41" s="27">
        <v>0.008702251647686225</v>
      </c>
      <c r="C41" s="27">
        <v>0.00489237653491687</v>
      </c>
      <c r="D41" s="27">
        <v>-5.713338769675406E-4</v>
      </c>
      <c r="E41" s="27">
        <v>0.012575140312354953</v>
      </c>
      <c r="F41" s="15">
        <v>0.28771228771228774</v>
      </c>
      <c r="G41" s="15">
        <v>1.0</v>
      </c>
      <c r="H41" s="28">
        <v>3.911520602369726</v>
      </c>
      <c r="I41" s="3" t="s">
        <v>308</v>
      </c>
      <c r="J41" s="3" t="s">
        <v>309</v>
      </c>
      <c r="K41" s="15">
        <v>0.004904363749680101</v>
      </c>
    </row>
    <row r="42" ht="39.75" customHeight="1">
      <c r="A42" s="3" t="s">
        <v>337</v>
      </c>
      <c r="B42" s="27">
        <v>-0.012601824434775562</v>
      </c>
      <c r="C42" s="27">
        <v>-0.001343624932780643</v>
      </c>
      <c r="D42" s="27">
        <v>-0.007109101680002344</v>
      </c>
      <c r="E42" s="27">
        <v>0.0</v>
      </c>
      <c r="F42" s="15">
        <v>0.6623376623376623</v>
      </c>
      <c r="G42" s="15">
        <v>1.0</v>
      </c>
      <c r="H42" s="28">
        <v>1.6059206135791773</v>
      </c>
      <c r="I42" s="3" t="s">
        <v>308</v>
      </c>
      <c r="J42" s="3" t="s">
        <v>309</v>
      </c>
      <c r="K42" s="15">
        <v>-0.001342722672945494</v>
      </c>
    </row>
    <row r="43" ht="39.75" customHeight="1">
      <c r="A43" s="3" t="s">
        <v>339</v>
      </c>
      <c r="B43" s="27">
        <v>0.0041955857635236045</v>
      </c>
      <c r="C43" s="27">
        <v>0.004784551279494251</v>
      </c>
      <c r="D43" s="27">
        <v>-0.0018738880287245227</v>
      </c>
      <c r="E43" s="27">
        <v>0.018571032304420372</v>
      </c>
      <c r="F43" s="15">
        <v>0.44655344655344653</v>
      </c>
      <c r="G43" s="15">
        <v>1.0</v>
      </c>
      <c r="H43" s="28">
        <v>9.701814954115589</v>
      </c>
      <c r="I43" s="3" t="s">
        <v>308</v>
      </c>
      <c r="J43" s="3" t="s">
        <v>309</v>
      </c>
      <c r="K43" s="15">
        <v>0.004796015521426155</v>
      </c>
    </row>
    <row r="44" ht="39.75" customHeight="1">
      <c r="A44" s="3" t="s">
        <v>342</v>
      </c>
      <c r="B44" s="27">
        <v>0.0</v>
      </c>
      <c r="C44" s="27">
        <v>0.0</v>
      </c>
      <c r="D44" s="27">
        <v>-0.00829497855890174</v>
      </c>
      <c r="E44" s="27">
        <v>0.0010535388391931758</v>
      </c>
      <c r="F44" s="15">
        <v>1.0</v>
      </c>
      <c r="G44" s="15">
        <v>1.0</v>
      </c>
      <c r="H44" s="28">
        <v>7.425350264330236</v>
      </c>
      <c r="I44" s="3" t="s">
        <v>308</v>
      </c>
      <c r="J44" s="3" t="s">
        <v>309</v>
      </c>
      <c r="K44" s="15">
        <v>0.0</v>
      </c>
    </row>
    <row r="45" ht="39.75" customHeight="1">
      <c r="A45" s="3" t="s">
        <v>343</v>
      </c>
      <c r="B45" s="27">
        <v>0.015820067483663984</v>
      </c>
      <c r="C45" s="27">
        <v>0.014307889600594204</v>
      </c>
      <c r="D45" s="27">
        <v>0.006927571912323625</v>
      </c>
      <c r="E45" s="27">
        <v>0.02140899569513202</v>
      </c>
      <c r="F45" s="15">
        <v>0.001998001998001998</v>
      </c>
      <c r="G45" s="15">
        <v>0.4035964035964036</v>
      </c>
      <c r="H45" s="28">
        <v>2.3675470645247523</v>
      </c>
      <c r="I45" s="3" t="s">
        <v>308</v>
      </c>
      <c r="J45" s="3" t="s">
        <v>309</v>
      </c>
      <c r="K45" s="15">
        <v>0.014410737379153405</v>
      </c>
    </row>
    <row r="46" ht="39.75" customHeight="1">
      <c r="A46" s="3" t="s">
        <v>346</v>
      </c>
      <c r="B46" s="27">
        <v>0.009768574200648108</v>
      </c>
      <c r="C46" s="27">
        <v>0.004098890266066202</v>
      </c>
      <c r="D46" s="27">
        <v>0.0</v>
      </c>
      <c r="E46" s="27">
        <v>0.01266257704412223</v>
      </c>
      <c r="F46" s="15">
        <v>0.3356643356643357</v>
      </c>
      <c r="G46" s="15">
        <v>1.0</v>
      </c>
      <c r="H46" s="28">
        <v>3.3656907831860368</v>
      </c>
      <c r="I46" s="3" t="s">
        <v>308</v>
      </c>
      <c r="J46" s="3" t="s">
        <v>309</v>
      </c>
      <c r="K46" s="15">
        <v>0.004107302206052283</v>
      </c>
    </row>
    <row r="47" ht="39.75" customHeight="1">
      <c r="A47" s="3" t="s">
        <v>347</v>
      </c>
      <c r="B47" s="27">
        <v>0.03891418360568856</v>
      </c>
      <c r="C47" s="27">
        <v>0.023272508521130185</v>
      </c>
      <c r="D47" s="27">
        <v>0.011241104002320378</v>
      </c>
      <c r="E47" s="27">
        <v>0.03471685331496545</v>
      </c>
      <c r="F47" s="15">
        <v>9.99000999000999E-4</v>
      </c>
      <c r="G47" s="15">
        <v>0.2137862137862138</v>
      </c>
      <c r="H47" s="28">
        <v>6.854018793949567</v>
      </c>
      <c r="I47" s="3" t="s">
        <v>308</v>
      </c>
      <c r="J47" s="3" t="s">
        <v>309</v>
      </c>
      <c r="K47" s="15">
        <v>0.023545426396427045</v>
      </c>
    </row>
    <row r="48" ht="39.75" customHeight="1">
      <c r="A48" s="3" t="s">
        <v>349</v>
      </c>
      <c r="B48" s="27">
        <v>0.0</v>
      </c>
      <c r="C48" s="27">
        <v>0.0</v>
      </c>
      <c r="D48" s="27">
        <v>-0.012379345485928565</v>
      </c>
      <c r="E48" s="27">
        <v>0.0</v>
      </c>
      <c r="F48" s="15">
        <v>1.0</v>
      </c>
      <c r="G48" s="15">
        <v>1.0</v>
      </c>
      <c r="H48" s="28">
        <v>10.083886510551372</v>
      </c>
      <c r="I48" s="3" t="s">
        <v>308</v>
      </c>
      <c r="J48" s="3" t="s">
        <v>309</v>
      </c>
      <c r="K48" s="15">
        <v>0.0</v>
      </c>
    </row>
    <row r="49" ht="39.75" customHeight="1">
      <c r="A49" s="3" t="s">
        <v>352</v>
      </c>
      <c r="B49" s="27">
        <v>-4.146837394398125E-4</v>
      </c>
      <c r="C49" s="27">
        <v>-0.0012279273893204981</v>
      </c>
      <c r="D49" s="27">
        <v>-0.0064924803970585285</v>
      </c>
      <c r="E49" s="27">
        <v>0.01108558849825321</v>
      </c>
      <c r="F49" s="15">
        <v>0.8141858141858141</v>
      </c>
      <c r="G49" s="15">
        <v>1.0</v>
      </c>
      <c r="H49" s="28">
        <v>10.372634160113602</v>
      </c>
      <c r="I49" s="3" t="s">
        <v>308</v>
      </c>
      <c r="J49" s="3" t="s">
        <v>309</v>
      </c>
      <c r="K49" s="15">
        <v>-0.0012271737949683854</v>
      </c>
    </row>
    <row r="50" ht="39.75" customHeight="1">
      <c r="A50" s="3" t="s">
        <v>355</v>
      </c>
      <c r="B50" s="27">
        <v>-0.004489612025756404</v>
      </c>
      <c r="C50" s="27">
        <v>-0.004723973542260153</v>
      </c>
      <c r="D50" s="27">
        <v>-0.01561021219850765</v>
      </c>
      <c r="E50" s="27">
        <v>0.005878248825614566</v>
      </c>
      <c r="F50" s="15">
        <v>0.4565434565434565</v>
      </c>
      <c r="G50" s="15">
        <v>1.0</v>
      </c>
      <c r="H50" s="28">
        <v>5.123705278752062</v>
      </c>
      <c r="I50" s="3" t="s">
        <v>308</v>
      </c>
      <c r="J50" s="3" t="s">
        <v>309</v>
      </c>
      <c r="K50" s="15">
        <v>-0.004712833128489752</v>
      </c>
    </row>
    <row r="51" ht="39.75" customHeight="1">
      <c r="A51" s="3" t="s">
        <v>323</v>
      </c>
      <c r="B51" s="27">
        <v>0.03916749141836048</v>
      </c>
      <c r="C51" s="27">
        <v>0.03206917419465613</v>
      </c>
      <c r="D51" s="27">
        <v>0.017960214010506143</v>
      </c>
      <c r="E51" s="27">
        <v>0.0481019111973566</v>
      </c>
      <c r="F51" s="15">
        <v>9.99000999000999E-4</v>
      </c>
      <c r="G51" s="15">
        <v>0.2137862137862138</v>
      </c>
      <c r="H51" s="28">
        <v>11.627686397406933</v>
      </c>
      <c r="I51" s="3" t="s">
        <v>308</v>
      </c>
      <c r="J51" s="3" t="s">
        <v>309</v>
      </c>
      <c r="K51" s="15">
        <v>0.03258893134240708</v>
      </c>
    </row>
    <row r="52" ht="39.75" customHeight="1">
      <c r="A52" s="3" t="s">
        <v>359</v>
      </c>
      <c r="B52" s="27">
        <v>0.01731613424302756</v>
      </c>
      <c r="C52" s="27">
        <v>0.008357570041706187</v>
      </c>
      <c r="D52" s="27">
        <v>3.7348928050773316E-4</v>
      </c>
      <c r="E52" s="27">
        <v>0.015754622758410126</v>
      </c>
      <c r="F52" s="15">
        <v>0.03696303696303696</v>
      </c>
      <c r="G52" s="15">
        <v>1.0</v>
      </c>
      <c r="H52" s="28">
        <v>2.4815835003127145</v>
      </c>
      <c r="I52" s="3" t="s">
        <v>308</v>
      </c>
      <c r="J52" s="3" t="s">
        <v>309</v>
      </c>
      <c r="K52" s="15">
        <v>0.008392592028453726</v>
      </c>
    </row>
    <row r="53" ht="39.75" customHeight="1">
      <c r="A53" s="3" t="s">
        <v>362</v>
      </c>
      <c r="B53" s="27">
        <v>0.05230187837770174</v>
      </c>
      <c r="C53" s="27">
        <v>0.009823592086954144</v>
      </c>
      <c r="D53" s="27">
        <v>6.589916838240419E-4</v>
      </c>
      <c r="E53" s="27">
        <v>0.018421111290671813</v>
      </c>
      <c r="F53" s="15">
        <v>0.03496503496503497</v>
      </c>
      <c r="G53" s="15">
        <v>1.0</v>
      </c>
      <c r="H53" s="28">
        <v>2.7572507384390557</v>
      </c>
      <c r="I53" s="3" t="s">
        <v>308</v>
      </c>
      <c r="J53" s="3" t="s">
        <v>309</v>
      </c>
      <c r="K53" s="15">
        <v>0.009872001957452251</v>
      </c>
    </row>
    <row r="54" ht="39.75" customHeight="1">
      <c r="A54" s="3" t="s">
        <v>364</v>
      </c>
      <c r="B54" s="27">
        <v>0.019131218809702137</v>
      </c>
      <c r="C54" s="27">
        <v>0.013328195488071282</v>
      </c>
      <c r="D54" s="27">
        <v>0.0</v>
      </c>
      <c r="E54" s="27">
        <v>0.026666582922885554</v>
      </c>
      <c r="F54" s="15">
        <v>0.12687312687312688</v>
      </c>
      <c r="G54" s="15">
        <v>1.0</v>
      </c>
      <c r="H54" s="28">
        <v>34.720780882571454</v>
      </c>
      <c r="I54" s="3" t="s">
        <v>308</v>
      </c>
      <c r="J54" s="3" t="s">
        <v>309</v>
      </c>
      <c r="K54" s="15">
        <v>0.013417411809118939</v>
      </c>
    </row>
    <row r="55" ht="39.75" customHeight="1">
      <c r="A55" s="3" t="s">
        <v>366</v>
      </c>
      <c r="B55" s="27">
        <v>0.0</v>
      </c>
      <c r="C55" s="27">
        <v>0.0</v>
      </c>
      <c r="D55" s="27">
        <v>-0.0014601705882818124</v>
      </c>
      <c r="E55" s="27">
        <v>0.0042561544013185425</v>
      </c>
      <c r="F55" s="15">
        <v>1.0</v>
      </c>
      <c r="G55" s="15">
        <v>1.0</v>
      </c>
      <c r="H55" s="28">
        <v>67.08490675096897</v>
      </c>
      <c r="I55" s="3" t="s">
        <v>308</v>
      </c>
      <c r="J55" s="3" t="s">
        <v>309</v>
      </c>
      <c r="K55" s="15">
        <v>0.0</v>
      </c>
    </row>
    <row r="56" ht="39.75" customHeight="1">
      <c r="A56" s="3" t="s">
        <v>367</v>
      </c>
      <c r="B56" s="27">
        <v>-9.881548740818384E-4</v>
      </c>
      <c r="C56" s="27">
        <v>-0.0011686291258045768</v>
      </c>
      <c r="D56" s="27">
        <v>-0.008766362707734726</v>
      </c>
      <c r="E56" s="27">
        <v>0.003935813519507534</v>
      </c>
      <c r="F56" s="15">
        <v>0.7362637362637363</v>
      </c>
      <c r="G56" s="15">
        <v>1.0</v>
      </c>
      <c r="H56" s="28">
        <v>3.181492080837191</v>
      </c>
      <c r="I56" s="3" t="s">
        <v>308</v>
      </c>
      <c r="J56" s="3" t="s">
        <v>309</v>
      </c>
      <c r="K56" s="15">
        <v>-0.0011679465447083464</v>
      </c>
    </row>
    <row r="57" ht="39.75" customHeight="1">
      <c r="A57" s="3" t="s">
        <v>101</v>
      </c>
      <c r="B57" s="27">
        <v>0.09693206615868938</v>
      </c>
      <c r="C57" s="27">
        <v>0.07059551892336484</v>
      </c>
      <c r="D57" s="27">
        <v>0.0478420439329573</v>
      </c>
      <c r="E57" s="27">
        <v>0.09104977832050559</v>
      </c>
      <c r="F57" s="15">
        <v>9.99000999000999E-4</v>
      </c>
      <c r="G57" s="15">
        <v>0.2137862137862138</v>
      </c>
      <c r="H57" s="28">
        <v>57.721714327317045</v>
      </c>
      <c r="I57" s="3" t="s">
        <v>308</v>
      </c>
      <c r="J57" s="3" t="s">
        <v>309</v>
      </c>
      <c r="K57" s="15">
        <v>0.07314707038802007</v>
      </c>
    </row>
    <row r="58" ht="39.75" customHeight="1">
      <c r="A58" s="3" t="s">
        <v>368</v>
      </c>
      <c r="B58" s="27">
        <v>0.02697242844004136</v>
      </c>
      <c r="C58" s="27">
        <v>0.01396816512155255</v>
      </c>
      <c r="D58" s="27">
        <v>0.004471946279784039</v>
      </c>
      <c r="E58" s="27">
        <v>0.023064257974321767</v>
      </c>
      <c r="F58" s="15">
        <v>0.003996003996003996</v>
      </c>
      <c r="G58" s="15">
        <v>0.7912087912087912</v>
      </c>
      <c r="H58" s="28">
        <v>2.78223487596449</v>
      </c>
      <c r="I58" s="3" t="s">
        <v>308</v>
      </c>
      <c r="J58" s="3" t="s">
        <v>309</v>
      </c>
      <c r="K58" s="15">
        <v>0.014066175751186691</v>
      </c>
    </row>
    <row r="59" ht="39.75" customHeight="1">
      <c r="A59" s="3" t="s">
        <v>370</v>
      </c>
      <c r="B59" s="27">
        <v>0.0</v>
      </c>
      <c r="C59" s="27">
        <v>0.0</v>
      </c>
      <c r="D59" s="27">
        <v>-0.0036451936573953896</v>
      </c>
      <c r="E59" s="27">
        <v>0.003640438230968303</v>
      </c>
      <c r="F59" s="15">
        <v>1.0</v>
      </c>
      <c r="G59" s="15">
        <v>1.0</v>
      </c>
      <c r="H59" s="28">
        <v>1.4224798514065427</v>
      </c>
      <c r="I59" s="3" t="s">
        <v>308</v>
      </c>
      <c r="J59" s="3" t="s">
        <v>309</v>
      </c>
      <c r="K59" s="15">
        <v>0.0</v>
      </c>
    </row>
    <row r="60" ht="39.75" customHeight="1">
      <c r="A60" s="3" t="s">
        <v>372</v>
      </c>
      <c r="B60" s="27">
        <v>0.015414093114013804</v>
      </c>
      <c r="C60" s="27">
        <v>0.008407073955895046</v>
      </c>
      <c r="D60" s="27">
        <v>0.0</v>
      </c>
      <c r="E60" s="27">
        <v>0.0194185087357862</v>
      </c>
      <c r="F60" s="15">
        <v>0.1108891108891109</v>
      </c>
      <c r="G60" s="15">
        <v>1.0</v>
      </c>
      <c r="H60" s="28">
        <v>4.224316248020189</v>
      </c>
      <c r="I60" s="3" t="s">
        <v>308</v>
      </c>
      <c r="J60" s="3" t="s">
        <v>309</v>
      </c>
      <c r="K60" s="15">
        <v>0.008442512644420934</v>
      </c>
    </row>
    <row r="61" ht="39.75" customHeight="1">
      <c r="A61" s="3" t="s">
        <v>374</v>
      </c>
      <c r="B61" s="27">
        <v>0.027857586132265466</v>
      </c>
      <c r="C61" s="27">
        <v>0.013915160405958688</v>
      </c>
      <c r="D61" s="27">
        <v>0.006337062007284408</v>
      </c>
      <c r="E61" s="27">
        <v>0.021672177052575393</v>
      </c>
      <c r="F61" s="15">
        <v>0.001998001998001998</v>
      </c>
      <c r="G61" s="15">
        <v>0.4035964035964036</v>
      </c>
      <c r="H61" s="28">
        <v>3.089072458835315</v>
      </c>
      <c r="I61" s="3" t="s">
        <v>308</v>
      </c>
      <c r="J61" s="3" t="s">
        <v>309</v>
      </c>
      <c r="K61" s="15">
        <v>0.014012426886431874</v>
      </c>
    </row>
    <row r="62" ht="39.75" customHeight="1">
      <c r="A62" s="3" t="s">
        <v>376</v>
      </c>
      <c r="B62" s="27">
        <v>-0.002045704355069249</v>
      </c>
      <c r="C62" s="27">
        <v>-0.001647174883342815</v>
      </c>
      <c r="D62" s="27">
        <v>-0.012920359300962237</v>
      </c>
      <c r="E62" s="27">
        <v>0.006103177904712115</v>
      </c>
      <c r="F62" s="15">
        <v>0.7612387612387612</v>
      </c>
      <c r="G62" s="15">
        <v>1.0</v>
      </c>
      <c r="H62" s="28">
        <v>3.52891114084987</v>
      </c>
      <c r="I62" s="3" t="s">
        <v>308</v>
      </c>
      <c r="J62" s="3" t="s">
        <v>309</v>
      </c>
      <c r="K62" s="15">
        <v>-0.0016458190353364252</v>
      </c>
    </row>
    <row r="63" ht="39.75" customHeight="1">
      <c r="A63" s="3" t="s">
        <v>377</v>
      </c>
      <c r="B63" s="27">
        <v>-0.0279004410400409</v>
      </c>
      <c r="C63" s="27">
        <v>-0.0029111667092195804</v>
      </c>
      <c r="D63" s="27">
        <v>-0.0074431859605707485</v>
      </c>
      <c r="E63" s="27">
        <v>0.0</v>
      </c>
      <c r="F63" s="15">
        <v>0.35664335664335667</v>
      </c>
      <c r="G63" s="15">
        <v>1.0</v>
      </c>
      <c r="H63" s="28">
        <v>4.702966100307734</v>
      </c>
      <c r="I63" s="3" t="s">
        <v>308</v>
      </c>
      <c r="J63" s="3" t="s">
        <v>309</v>
      </c>
      <c r="K63" s="15">
        <v>-0.002906933372394616</v>
      </c>
    </row>
    <row r="64" ht="39.75" customHeight="1">
      <c r="A64" s="3" t="s">
        <v>378</v>
      </c>
      <c r="B64" s="27">
        <v>0.011124622966368736</v>
      </c>
      <c r="C64" s="27">
        <v>0.007324658733975067</v>
      </c>
      <c r="D64" s="27">
        <v>0.0</v>
      </c>
      <c r="E64" s="27">
        <v>0.01614031507462905</v>
      </c>
      <c r="F64" s="15">
        <v>0.1088911088911089</v>
      </c>
      <c r="G64" s="15">
        <v>1.0</v>
      </c>
      <c r="H64" s="28">
        <v>3.462956083938893</v>
      </c>
      <c r="I64" s="3" t="s">
        <v>308</v>
      </c>
      <c r="J64" s="3" t="s">
        <v>309</v>
      </c>
      <c r="K64" s="15">
        <v>0.007351549662289002</v>
      </c>
    </row>
    <row r="65" ht="39.75" customHeight="1">
      <c r="A65" s="3" t="s">
        <v>380</v>
      </c>
      <c r="B65" s="27">
        <v>0.007270169868267173</v>
      </c>
      <c r="C65" s="27">
        <v>0.005842617086809672</v>
      </c>
      <c r="D65" s="27">
        <v>-0.0010078859812739603</v>
      </c>
      <c r="E65" s="27">
        <v>0.018446070766872803</v>
      </c>
      <c r="F65" s="15">
        <v>0.3646353646353646</v>
      </c>
      <c r="G65" s="15">
        <v>1.0</v>
      </c>
      <c r="H65" s="28">
        <v>6.649715722671709</v>
      </c>
      <c r="I65" s="3" t="s">
        <v>308</v>
      </c>
      <c r="J65" s="3" t="s">
        <v>309</v>
      </c>
      <c r="K65" s="15">
        <v>0.005859718463397264</v>
      </c>
    </row>
    <row r="66" ht="39.75" customHeight="1">
      <c r="A66" s="3" t="s">
        <v>381</v>
      </c>
      <c r="B66" s="27">
        <v>0.13906980085160187</v>
      </c>
      <c r="C66" s="27">
        <v>0.020486586790544065</v>
      </c>
      <c r="D66" s="27">
        <v>0.011487608176562168</v>
      </c>
      <c r="E66" s="27">
        <v>0.026906403029171237</v>
      </c>
      <c r="F66" s="15">
        <v>9.99000999000999E-4</v>
      </c>
      <c r="G66" s="15">
        <v>0.2137862137862138</v>
      </c>
      <c r="H66" s="28">
        <v>1.518981015909346</v>
      </c>
      <c r="I66" s="3" t="s">
        <v>308</v>
      </c>
      <c r="J66" s="3" t="s">
        <v>309</v>
      </c>
      <c r="K66" s="15">
        <v>0.02069787731695444</v>
      </c>
    </row>
    <row r="67" ht="39.75" customHeight="1">
      <c r="A67" s="3" t="s">
        <v>382</v>
      </c>
      <c r="B67" s="27">
        <v>0.015413166297481533</v>
      </c>
      <c r="C67" s="27">
        <v>0.009887903651725687</v>
      </c>
      <c r="D67" s="27">
        <v>0.0</v>
      </c>
      <c r="E67" s="27">
        <v>0.020145810114513746</v>
      </c>
      <c r="F67" s="15">
        <v>0.07592407592407592</v>
      </c>
      <c r="G67" s="15">
        <v>1.0</v>
      </c>
      <c r="H67" s="28">
        <v>5.596480374586229</v>
      </c>
      <c r="I67" s="3" t="s">
        <v>308</v>
      </c>
      <c r="J67" s="3" t="s">
        <v>309</v>
      </c>
      <c r="K67" s="15">
        <v>0.009936950494565746</v>
      </c>
    </row>
    <row r="68" ht="39.75" customHeight="1">
      <c r="A68" s="3" t="s">
        <v>383</v>
      </c>
      <c r="B68" s="27">
        <v>0.018150219845481475</v>
      </c>
      <c r="C68" s="27">
        <v>0.008219885958525418</v>
      </c>
      <c r="D68" s="27">
        <v>0.0</v>
      </c>
      <c r="E68" s="27">
        <v>0.01835745812785512</v>
      </c>
      <c r="F68" s="15">
        <v>0.15784215784215785</v>
      </c>
      <c r="G68" s="15">
        <v>1.0</v>
      </c>
      <c r="H68" s="28">
        <v>5.7866908496961615</v>
      </c>
      <c r="I68" s="3" t="s">
        <v>308</v>
      </c>
      <c r="J68" s="3" t="s">
        <v>309</v>
      </c>
      <c r="K68" s="15">
        <v>0.008253761976497536</v>
      </c>
    </row>
    <row r="69" ht="39.75" customHeight="1">
      <c r="A69" s="3" t="s">
        <v>384</v>
      </c>
      <c r="B69" s="27">
        <v>0.001682512261498295</v>
      </c>
      <c r="C69" s="27">
        <v>0.0015013413884072768</v>
      </c>
      <c r="D69" s="27">
        <v>-0.006372477958661161</v>
      </c>
      <c r="E69" s="27">
        <v>0.010541757125710066</v>
      </c>
      <c r="F69" s="15">
        <v>0.7472527472527473</v>
      </c>
      <c r="G69" s="15">
        <v>1.0</v>
      </c>
      <c r="H69" s="28">
        <v>3.2973715794729146</v>
      </c>
      <c r="I69" s="3" t="s">
        <v>308</v>
      </c>
      <c r="J69" s="3" t="s">
        <v>309</v>
      </c>
      <c r="K69" s="15">
        <v>0.0015024689656117176</v>
      </c>
    </row>
    <row r="70" ht="39.75" customHeight="1">
      <c r="A70" s="3" t="s">
        <v>324</v>
      </c>
      <c r="B70" s="27">
        <v>0.02371384293976694</v>
      </c>
      <c r="C70" s="27">
        <v>0.017538519737143456</v>
      </c>
      <c r="D70" s="27">
        <v>0.002262175731283964</v>
      </c>
      <c r="E70" s="27">
        <v>0.029590402392343874</v>
      </c>
      <c r="F70" s="15">
        <v>0.014985014985014986</v>
      </c>
      <c r="G70" s="15">
        <v>1.0</v>
      </c>
      <c r="H70" s="28">
        <v>7.913046063307434</v>
      </c>
      <c r="I70" s="3" t="s">
        <v>308</v>
      </c>
      <c r="J70" s="3" t="s">
        <v>309</v>
      </c>
      <c r="K70" s="15">
        <v>0.017693222671190088</v>
      </c>
    </row>
    <row r="71" ht="39.75" customHeight="1">
      <c r="A71" s="3" t="s">
        <v>385</v>
      </c>
      <c r="B71" s="27">
        <v>0.01601735455948876</v>
      </c>
      <c r="C71" s="27">
        <v>0.014127267568349247</v>
      </c>
      <c r="D71" s="27">
        <v>0.002454553373756158</v>
      </c>
      <c r="E71" s="27">
        <v>0.027068311013206163</v>
      </c>
      <c r="F71" s="15">
        <v>0.024975024975024976</v>
      </c>
      <c r="G71" s="15">
        <v>1.0</v>
      </c>
      <c r="H71" s="28">
        <v>7.476654140400046</v>
      </c>
      <c r="I71" s="3" t="s">
        <v>308</v>
      </c>
      <c r="J71" s="3" t="s">
        <v>309</v>
      </c>
      <c r="K71" s="15">
        <v>0.014227528996470167</v>
      </c>
    </row>
    <row r="72" ht="39.75" customHeight="1">
      <c r="A72" s="3" t="s">
        <v>386</v>
      </c>
      <c r="B72" s="27">
        <v>0.02264087281483404</v>
      </c>
      <c r="C72" s="27">
        <v>0.00810712743373436</v>
      </c>
      <c r="D72" s="27">
        <v>0.0</v>
      </c>
      <c r="E72" s="27">
        <v>0.01607535232377454</v>
      </c>
      <c r="F72" s="15">
        <v>0.22477522477522477</v>
      </c>
      <c r="G72" s="15">
        <v>1.0</v>
      </c>
      <c r="H72" s="28">
        <v>49.324950705332235</v>
      </c>
      <c r="I72" s="3" t="s">
        <v>308</v>
      </c>
      <c r="J72" s="3" t="s">
        <v>309</v>
      </c>
      <c r="K72" s="15">
        <v>0.008140079179154743</v>
      </c>
    </row>
    <row r="73" ht="39.75" customHeight="1">
      <c r="A73" s="3" t="s">
        <v>387</v>
      </c>
      <c r="B73" s="27">
        <v>0.0</v>
      </c>
      <c r="C73" s="27">
        <v>0.0</v>
      </c>
      <c r="D73" s="27">
        <v>0.0</v>
      </c>
      <c r="E73" s="27">
        <v>0.011992014214021214</v>
      </c>
      <c r="F73" s="15">
        <v>1.0</v>
      </c>
      <c r="G73" s="15">
        <v>1.0</v>
      </c>
      <c r="H73" s="28">
        <v>53.524295256573915</v>
      </c>
      <c r="I73" s="3" t="s">
        <v>308</v>
      </c>
      <c r="J73" s="3" t="s">
        <v>309</v>
      </c>
      <c r="K73" s="15">
        <v>0.0</v>
      </c>
    </row>
    <row r="74" ht="39.75" customHeight="1">
      <c r="A74" s="3" t="s">
        <v>388</v>
      </c>
      <c r="B74" s="27">
        <v>0.008787395168430466</v>
      </c>
      <c r="C74" s="27">
        <v>0.0025880126845541133</v>
      </c>
      <c r="D74" s="27">
        <v>-0.001477364901510596</v>
      </c>
      <c r="E74" s="27">
        <v>0.01117964457294714</v>
      </c>
      <c r="F74" s="15">
        <v>0.5414585414585414</v>
      </c>
      <c r="G74" s="15">
        <v>1.0</v>
      </c>
      <c r="H74" s="28">
        <v>1.9020869022528857</v>
      </c>
      <c r="I74" s="3" t="s">
        <v>308</v>
      </c>
      <c r="J74" s="3" t="s">
        <v>309</v>
      </c>
      <c r="K74" s="15">
        <v>0.0025913644802547063</v>
      </c>
    </row>
    <row r="75" ht="39.75" customHeight="1">
      <c r="A75" s="3" t="s">
        <v>389</v>
      </c>
      <c r="B75" s="27">
        <v>0.010039455877328459</v>
      </c>
      <c r="C75" s="27">
        <v>0.005215014435270349</v>
      </c>
      <c r="D75" s="27">
        <v>-9.214540399300399E-5</v>
      </c>
      <c r="E75" s="27">
        <v>0.010792208640717837</v>
      </c>
      <c r="F75" s="15">
        <v>0.12287712287712288</v>
      </c>
      <c r="G75" s="15">
        <v>1.0</v>
      </c>
      <c r="H75" s="28">
        <v>1.5910737732375855</v>
      </c>
      <c r="I75" s="3" t="s">
        <v>308</v>
      </c>
      <c r="J75" s="3" t="s">
        <v>309</v>
      </c>
      <c r="K75" s="15">
        <v>0.005228636292149534</v>
      </c>
    </row>
    <row r="76" ht="39.75" customHeight="1">
      <c r="A76" s="3" t="s">
        <v>390</v>
      </c>
      <c r="B76" s="27">
        <v>0.011486617907023313</v>
      </c>
      <c r="C76" s="27">
        <v>0.005928813389130025</v>
      </c>
      <c r="D76" s="27">
        <v>0.0</v>
      </c>
      <c r="E76" s="27">
        <v>0.013898263754424713</v>
      </c>
      <c r="F76" s="15">
        <v>0.15184815184815184</v>
      </c>
      <c r="G76" s="15">
        <v>1.0</v>
      </c>
      <c r="H76" s="28">
        <v>1.9281725095202054</v>
      </c>
      <c r="I76" s="3" t="s">
        <v>308</v>
      </c>
      <c r="J76" s="3" t="s">
        <v>309</v>
      </c>
      <c r="K76" s="15">
        <v>0.005946423588558707</v>
      </c>
    </row>
    <row r="77" ht="39.75" customHeight="1">
      <c r="A77" s="3" t="s">
        <v>391</v>
      </c>
      <c r="B77" s="27">
        <v>0.0020633500551829006</v>
      </c>
      <c r="C77" s="27">
        <v>0.005302698099733378</v>
      </c>
      <c r="D77" s="27">
        <v>-0.0023470141982593323</v>
      </c>
      <c r="E77" s="27">
        <v>0.013030397348155292</v>
      </c>
      <c r="F77" s="15">
        <v>0.21178821178821178</v>
      </c>
      <c r="G77" s="15">
        <v>1.0</v>
      </c>
      <c r="H77" s="28">
        <v>1.7705690380751802</v>
      </c>
      <c r="I77" s="3" t="s">
        <v>308</v>
      </c>
      <c r="J77" s="3" t="s">
        <v>309</v>
      </c>
      <c r="K77" s="15">
        <v>0.005316782287028247</v>
      </c>
    </row>
    <row r="78" ht="39.75" customHeight="1">
      <c r="A78" s="3" t="s">
        <v>392</v>
      </c>
      <c r="B78" s="27">
        <v>0.005170706543093339</v>
      </c>
      <c r="C78" s="27">
        <v>0.0055340443010845584</v>
      </c>
      <c r="D78" s="27">
        <v>0.0</v>
      </c>
      <c r="E78" s="27">
        <v>0.011857652959953637</v>
      </c>
      <c r="F78" s="15">
        <v>0.0899100899100899</v>
      </c>
      <c r="G78" s="15">
        <v>1.0</v>
      </c>
      <c r="H78" s="28">
        <v>1.281199988858678</v>
      </c>
      <c r="I78" s="3" t="s">
        <v>308</v>
      </c>
      <c r="J78" s="3" t="s">
        <v>309</v>
      </c>
      <c r="K78" s="15">
        <v>0.005549385410652048</v>
      </c>
    </row>
    <row r="79" ht="39.75" customHeight="1">
      <c r="A79" s="3" t="s">
        <v>393</v>
      </c>
      <c r="B79" s="27">
        <v>0.004985803955152686</v>
      </c>
      <c r="C79" s="27">
        <v>0.010799151121544623</v>
      </c>
      <c r="D79" s="27">
        <v>0.004669417622358094</v>
      </c>
      <c r="E79" s="27">
        <v>0.01722030916573653</v>
      </c>
      <c r="F79" s="15">
        <v>0.002997002997002997</v>
      </c>
      <c r="G79" s="15">
        <v>0.5964035964035964</v>
      </c>
      <c r="H79" s="28">
        <v>1.2967136056970177</v>
      </c>
      <c r="I79" s="3" t="s">
        <v>308</v>
      </c>
      <c r="J79" s="3" t="s">
        <v>309</v>
      </c>
      <c r="K79" s="15">
        <v>0.010857672424433265</v>
      </c>
    </row>
    <row r="80" ht="39.75" customHeight="1">
      <c r="A80" s="3" t="s">
        <v>394</v>
      </c>
      <c r="B80" s="27">
        <v>0.0031140082562969964</v>
      </c>
      <c r="C80" s="27">
        <v>0.0021773275540871834</v>
      </c>
      <c r="D80" s="27">
        <v>-0.007640767648956521</v>
      </c>
      <c r="E80" s="27">
        <v>0.011790239174247638</v>
      </c>
      <c r="F80" s="15">
        <v>0.6563436563436563</v>
      </c>
      <c r="G80" s="15">
        <v>1.0</v>
      </c>
      <c r="H80" s="28">
        <v>34.09550907151905</v>
      </c>
      <c r="I80" s="3" t="s">
        <v>308</v>
      </c>
      <c r="J80" s="3" t="s">
        <v>309</v>
      </c>
      <c r="K80" s="15">
        <v>0.0021796996530257825</v>
      </c>
    </row>
    <row r="81" ht="39.75" customHeight="1">
      <c r="A81" s="3" t="s">
        <v>395</v>
      </c>
      <c r="B81" s="27">
        <v>0.0</v>
      </c>
      <c r="C81" s="27">
        <v>0.0</v>
      </c>
      <c r="D81" s="27">
        <v>0.0</v>
      </c>
      <c r="E81" s="27">
        <v>0.0</v>
      </c>
      <c r="F81" s="15">
        <v>1.0</v>
      </c>
      <c r="G81" s="15">
        <v>1.0</v>
      </c>
      <c r="H81" s="28">
        <v>34.35241874567987</v>
      </c>
      <c r="I81" s="3" t="s">
        <v>308</v>
      </c>
      <c r="J81" s="3" t="s">
        <v>309</v>
      </c>
      <c r="K81" s="15">
        <v>0.0</v>
      </c>
    </row>
    <row r="82" ht="39.75" customHeight="1">
      <c r="A82" s="3" t="s">
        <v>396</v>
      </c>
      <c r="B82" s="27">
        <v>-0.005628745677724588</v>
      </c>
      <c r="C82" s="27">
        <v>-0.003438475027223785</v>
      </c>
      <c r="D82" s="27">
        <v>-0.00944182697910045</v>
      </c>
      <c r="E82" s="27">
        <v>0.0011612881553905803</v>
      </c>
      <c r="F82" s="15">
        <v>0.27472527472527475</v>
      </c>
      <c r="G82" s="15">
        <v>1.0</v>
      </c>
      <c r="H82" s="28">
        <v>1.5216742333401083</v>
      </c>
      <c r="I82" s="3" t="s">
        <v>308</v>
      </c>
      <c r="J82" s="3" t="s">
        <v>309</v>
      </c>
      <c r="K82" s="15">
        <v>-0.0034325702417253266</v>
      </c>
    </row>
    <row r="83" ht="39.75" customHeight="1">
      <c r="A83" s="3" t="s">
        <v>397</v>
      </c>
      <c r="B83" s="27">
        <v>-6.576770152513491E-4</v>
      </c>
      <c r="C83" s="27">
        <v>-0.0014907333014967676</v>
      </c>
      <c r="D83" s="27">
        <v>-0.009074749122249743</v>
      </c>
      <c r="E83" s="27">
        <v>0.003693934787711406</v>
      </c>
      <c r="F83" s="15">
        <v>0.6413586413586414</v>
      </c>
      <c r="G83" s="15">
        <v>1.0</v>
      </c>
      <c r="H83" s="28">
        <v>24.217596600024585</v>
      </c>
      <c r="I83" s="3" t="s">
        <v>308</v>
      </c>
      <c r="J83" s="3" t="s">
        <v>309</v>
      </c>
      <c r="K83" s="15">
        <v>-0.0014896227105421955</v>
      </c>
    </row>
    <row r="84" ht="39.75" customHeight="1">
      <c r="A84" s="3" t="s">
        <v>398</v>
      </c>
      <c r="B84" s="27">
        <v>0.10133428731863572</v>
      </c>
      <c r="C84" s="27">
        <v>0.07701536420667354</v>
      </c>
      <c r="D84" s="27">
        <v>0.05355148981066189</v>
      </c>
      <c r="E84" s="27">
        <v>0.10136209992958531</v>
      </c>
      <c r="F84" s="15">
        <v>9.99000999000999E-4</v>
      </c>
      <c r="G84" s="15">
        <v>0.2137862137862138</v>
      </c>
      <c r="H84" s="28">
        <v>33.10396592959175</v>
      </c>
      <c r="I84" s="3" t="s">
        <v>308</v>
      </c>
      <c r="J84" s="3" t="s">
        <v>309</v>
      </c>
      <c r="K84" s="15">
        <v>0.08005867050975553</v>
      </c>
    </row>
    <row r="85" ht="39.75" customHeight="1">
      <c r="A85" s="3" t="s">
        <v>399</v>
      </c>
      <c r="B85" s="27">
        <v>0.012827464052510885</v>
      </c>
      <c r="C85" s="27">
        <v>0.0029216153666646</v>
      </c>
      <c r="D85" s="27">
        <v>0.0</v>
      </c>
      <c r="E85" s="27">
        <v>0.009841219928109341</v>
      </c>
      <c r="F85" s="15">
        <v>0.4165834165834166</v>
      </c>
      <c r="G85" s="15">
        <v>1.0</v>
      </c>
      <c r="H85" s="28" t="s">
        <v>400</v>
      </c>
      <c r="I85" s="3" t="s">
        <v>308</v>
      </c>
      <c r="J85" s="3" t="s">
        <v>309</v>
      </c>
      <c r="K85" s="15">
        <v>0.002925887444282703</v>
      </c>
    </row>
    <row r="86" ht="39.75" customHeight="1">
      <c r="A86" s="3" t="s">
        <v>401</v>
      </c>
      <c r="B86" s="27">
        <v>-0.02756438902664323</v>
      </c>
      <c r="C86" s="27">
        <v>-0.005530627984395779</v>
      </c>
      <c r="D86" s="27">
        <v>-0.012023583197014116</v>
      </c>
      <c r="E86" s="27">
        <v>0.0</v>
      </c>
      <c r="F86" s="15">
        <v>0.1088911088911089</v>
      </c>
      <c r="G86" s="15">
        <v>1.0</v>
      </c>
      <c r="H86" s="28" t="s">
        <v>400</v>
      </c>
      <c r="I86" s="3" t="s">
        <v>308</v>
      </c>
      <c r="J86" s="3" t="s">
        <v>309</v>
      </c>
      <c r="K86" s="15">
        <v>-0.0055153622175033775</v>
      </c>
    </row>
    <row r="87" ht="39.75" customHeight="1">
      <c r="A87" s="3" t="s">
        <v>402</v>
      </c>
      <c r="B87" s="27">
        <v>0.0</v>
      </c>
      <c r="C87" s="27">
        <v>0.0</v>
      </c>
      <c r="D87" s="27">
        <v>-1.710101186095592E-4</v>
      </c>
      <c r="E87" s="27">
        <v>0.0</v>
      </c>
      <c r="F87" s="15">
        <v>1.0</v>
      </c>
      <c r="G87" s="15">
        <v>1.0</v>
      </c>
      <c r="H87" s="28" t="s">
        <v>400</v>
      </c>
      <c r="I87" s="3" t="s">
        <v>308</v>
      </c>
      <c r="J87" s="3" t="s">
        <v>309</v>
      </c>
      <c r="K87" s="15">
        <v>0.0</v>
      </c>
    </row>
    <row r="88" ht="39.75" customHeight="1">
      <c r="A88" s="3" t="s">
        <v>403</v>
      </c>
      <c r="B88" s="27">
        <v>0.0</v>
      </c>
      <c r="C88" s="27">
        <v>0.0</v>
      </c>
      <c r="D88" s="27">
        <v>-8.356168431173481E-4</v>
      </c>
      <c r="E88" s="27">
        <v>0.001085423268066671</v>
      </c>
      <c r="F88" s="15">
        <v>1.0</v>
      </c>
      <c r="G88" s="15">
        <v>1.0</v>
      </c>
      <c r="H88" s="28" t="s">
        <v>400</v>
      </c>
      <c r="I88" s="3" t="s">
        <v>308</v>
      </c>
      <c r="J88" s="3" t="s">
        <v>309</v>
      </c>
      <c r="K88" s="15">
        <v>0.0</v>
      </c>
    </row>
    <row r="89" ht="39.75" customHeight="1">
      <c r="A89" s="3" t="s">
        <v>404</v>
      </c>
      <c r="B89" s="27">
        <v>0.0026893991055437602</v>
      </c>
      <c r="C89" s="27">
        <v>0.0013000411852695081</v>
      </c>
      <c r="D89" s="27">
        <v>0.0</v>
      </c>
      <c r="E89" s="27">
        <v>0.012690768076922772</v>
      </c>
      <c r="F89" s="15">
        <v>0.7992007992007992</v>
      </c>
      <c r="G89" s="15">
        <v>1.0</v>
      </c>
      <c r="H89" s="28" t="s">
        <v>400</v>
      </c>
      <c r="I89" s="3" t="s">
        <v>308</v>
      </c>
      <c r="J89" s="3" t="s">
        <v>309</v>
      </c>
      <c r="K89" s="15">
        <v>0.0013008866051317262</v>
      </c>
    </row>
    <row r="90" ht="39.75" customHeight="1">
      <c r="A90" s="3" t="s">
        <v>405</v>
      </c>
      <c r="B90" s="27">
        <v>-0.04292194487909837</v>
      </c>
      <c r="C90" s="27">
        <v>-0.008695567717305015</v>
      </c>
      <c r="D90" s="27">
        <v>-0.016214088176705485</v>
      </c>
      <c r="E90" s="27">
        <v>0.0</v>
      </c>
      <c r="F90" s="15">
        <v>0.052947052947052944</v>
      </c>
      <c r="G90" s="15">
        <v>1.0</v>
      </c>
      <c r="H90" s="28" t="s">
        <v>400</v>
      </c>
      <c r="I90" s="3" t="s">
        <v>308</v>
      </c>
      <c r="J90" s="3" t="s">
        <v>309</v>
      </c>
      <c r="K90" s="15">
        <v>-0.008657870613380029</v>
      </c>
    </row>
    <row r="91" ht="39.75" customHeight="1">
      <c r="A91" s="3" t="s">
        <v>406</v>
      </c>
      <c r="B91" s="27">
        <v>0.0</v>
      </c>
      <c r="C91" s="27">
        <v>0.0</v>
      </c>
      <c r="D91" s="27">
        <v>0.0</v>
      </c>
      <c r="E91" s="27">
        <v>0.0</v>
      </c>
      <c r="F91" s="15">
        <v>1.0</v>
      </c>
      <c r="G91" s="15">
        <v>1.0</v>
      </c>
      <c r="H91" s="28" t="s">
        <v>400</v>
      </c>
      <c r="I91" s="3" t="s">
        <v>308</v>
      </c>
      <c r="J91" s="3" t="s">
        <v>309</v>
      </c>
      <c r="K91" s="15">
        <v>0.0</v>
      </c>
    </row>
    <row r="92" ht="39.75" customHeight="1">
      <c r="A92" s="3" t="s">
        <v>407</v>
      </c>
      <c r="B92" s="27">
        <v>0.0</v>
      </c>
      <c r="C92" s="27">
        <v>0.0</v>
      </c>
      <c r="D92" s="27">
        <v>0.0</v>
      </c>
      <c r="E92" s="27">
        <v>3.526797952468878E-4</v>
      </c>
      <c r="F92" s="15">
        <v>1.0</v>
      </c>
      <c r="G92" s="15">
        <v>1.0</v>
      </c>
      <c r="H92" s="28" t="s">
        <v>400</v>
      </c>
      <c r="I92" s="3" t="s">
        <v>308</v>
      </c>
      <c r="J92" s="3" t="s">
        <v>309</v>
      </c>
      <c r="K92" s="15">
        <v>0.0</v>
      </c>
    </row>
    <row r="93" ht="39.75" customHeight="1">
      <c r="A93" s="3" t="s">
        <v>408</v>
      </c>
      <c r="B93" s="27">
        <v>0.0</v>
      </c>
      <c r="C93" s="27">
        <v>0.0</v>
      </c>
      <c r="D93" s="27">
        <v>-0.0038305101586837173</v>
      </c>
      <c r="E93" s="27">
        <v>0.003027031373406969</v>
      </c>
      <c r="F93" s="15">
        <v>1.0</v>
      </c>
      <c r="G93" s="15">
        <v>1.0</v>
      </c>
      <c r="H93" s="28" t="s">
        <v>400</v>
      </c>
      <c r="I93" s="3" t="s">
        <v>308</v>
      </c>
      <c r="J93" s="3" t="s">
        <v>309</v>
      </c>
      <c r="K93" s="15">
        <v>0.0</v>
      </c>
    </row>
    <row r="94" ht="39.75" customHeight="1">
      <c r="A94" s="3" t="s">
        <v>409</v>
      </c>
      <c r="B94" s="27">
        <v>0.0</v>
      </c>
      <c r="C94" s="27">
        <v>0.0</v>
      </c>
      <c r="D94" s="27">
        <v>-0.008678894180085047</v>
      </c>
      <c r="E94" s="27">
        <v>0.0017079433026169807</v>
      </c>
      <c r="F94" s="15">
        <v>1.0</v>
      </c>
      <c r="G94" s="15">
        <v>1.0</v>
      </c>
      <c r="H94" s="28" t="s">
        <v>400</v>
      </c>
      <c r="I94" s="3" t="s">
        <v>308</v>
      </c>
      <c r="J94" s="3" t="s">
        <v>309</v>
      </c>
      <c r="K94" s="15">
        <v>0.0</v>
      </c>
    </row>
    <row r="95" ht="39.75" customHeight="1">
      <c r="A95" s="3" t="s">
        <v>410</v>
      </c>
      <c r="B95" s="27">
        <v>0.023512624775780717</v>
      </c>
      <c r="C95" s="27">
        <v>0.0048534083175314265</v>
      </c>
      <c r="D95" s="27">
        <v>0.0</v>
      </c>
      <c r="E95" s="27">
        <v>0.011545425853988999</v>
      </c>
      <c r="F95" s="15">
        <v>0.15884115884115885</v>
      </c>
      <c r="G95" s="15">
        <v>1.0</v>
      </c>
      <c r="H95" s="28" t="s">
        <v>400</v>
      </c>
      <c r="I95" s="3" t="s">
        <v>308</v>
      </c>
      <c r="J95" s="3" t="s">
        <v>309</v>
      </c>
      <c r="K95" s="15">
        <v>0.004865205180956687</v>
      </c>
    </row>
    <row r="96" ht="39.75" customHeight="1">
      <c r="A96" s="3" t="s">
        <v>411</v>
      </c>
      <c r="B96" s="27">
        <v>0.0</v>
      </c>
      <c r="C96" s="27">
        <v>0.0</v>
      </c>
      <c r="D96" s="27">
        <v>0.0</v>
      </c>
      <c r="E96" s="27">
        <v>0.003157047045690464</v>
      </c>
      <c r="F96" s="15">
        <v>1.0</v>
      </c>
      <c r="G96" s="15">
        <v>1.0</v>
      </c>
      <c r="H96" s="28" t="s">
        <v>400</v>
      </c>
      <c r="I96" s="3" t="s">
        <v>308</v>
      </c>
      <c r="J96" s="3" t="s">
        <v>309</v>
      </c>
      <c r="K96" s="15">
        <v>0.0</v>
      </c>
    </row>
    <row r="97" ht="39.75" customHeight="1">
      <c r="A97" s="3" t="s">
        <v>412</v>
      </c>
      <c r="B97" s="27">
        <v>0.0</v>
      </c>
      <c r="C97" s="27">
        <v>0.0</v>
      </c>
      <c r="D97" s="27">
        <v>-7.764425463358811E-4</v>
      </c>
      <c r="E97" s="27">
        <v>0.0021751284331479083</v>
      </c>
      <c r="F97" s="15">
        <v>1.0</v>
      </c>
      <c r="G97" s="15">
        <v>1.0</v>
      </c>
      <c r="H97" s="28" t="s">
        <v>400</v>
      </c>
      <c r="I97" s="3" t="s">
        <v>308</v>
      </c>
      <c r="J97" s="3" t="s">
        <v>309</v>
      </c>
      <c r="K97" s="15">
        <v>0.0</v>
      </c>
    </row>
    <row r="98" ht="39.75" customHeight="1">
      <c r="A98" s="3" t="s">
        <v>413</v>
      </c>
      <c r="B98" s="27">
        <v>0.0</v>
      </c>
      <c r="C98" s="27">
        <v>0.0</v>
      </c>
      <c r="D98" s="27">
        <v>0.0</v>
      </c>
      <c r="E98" s="27">
        <v>0.0011391308233626755</v>
      </c>
      <c r="F98" s="15">
        <v>1.0</v>
      </c>
      <c r="G98" s="15">
        <v>1.0</v>
      </c>
      <c r="H98" s="28" t="s">
        <v>400</v>
      </c>
      <c r="I98" s="3" t="s">
        <v>308</v>
      </c>
      <c r="J98" s="3" t="s">
        <v>309</v>
      </c>
      <c r="K98" s="15">
        <v>0.0</v>
      </c>
    </row>
    <row r="99" ht="39.75" customHeight="1">
      <c r="A99" s="3" t="s">
        <v>414</v>
      </c>
      <c r="B99" s="27">
        <v>-0.00882680628538147</v>
      </c>
      <c r="C99" s="27">
        <v>-0.001625822893923178</v>
      </c>
      <c r="D99" s="27">
        <v>-0.005420086437811614</v>
      </c>
      <c r="E99" s="27">
        <v>0.0</v>
      </c>
      <c r="F99" s="15">
        <v>0.4385614385614386</v>
      </c>
      <c r="G99" s="15">
        <v>1.0</v>
      </c>
      <c r="H99" s="28" t="s">
        <v>400</v>
      </c>
      <c r="I99" s="3" t="s">
        <v>308</v>
      </c>
      <c r="J99" s="3" t="s">
        <v>309</v>
      </c>
      <c r="K99" s="15">
        <v>-0.001624501959847242</v>
      </c>
    </row>
    <row r="100" ht="39.75" customHeight="1">
      <c r="A100" s="3" t="s">
        <v>415</v>
      </c>
      <c r="B100" s="27">
        <v>-0.08944021822957765</v>
      </c>
      <c r="C100" s="27">
        <v>-0.005229586603862817</v>
      </c>
      <c r="D100" s="27">
        <v>-0.013826947852925379</v>
      </c>
      <c r="E100" s="27">
        <v>0.0</v>
      </c>
      <c r="F100" s="15">
        <v>0.3946053946053946</v>
      </c>
      <c r="G100" s="15">
        <v>1.0</v>
      </c>
      <c r="H100" s="28" t="s">
        <v>400</v>
      </c>
      <c r="I100" s="3" t="s">
        <v>308</v>
      </c>
      <c r="J100" s="3" t="s">
        <v>309</v>
      </c>
      <c r="K100" s="15">
        <v>-0.005215936121665196</v>
      </c>
    </row>
    <row r="101" ht="39.75" customHeight="1">
      <c r="A101" s="3" t="s">
        <v>416</v>
      </c>
      <c r="B101" s="27">
        <v>0.02876914602642951</v>
      </c>
      <c r="C101" s="27">
        <v>0.005992581333879525</v>
      </c>
      <c r="D101" s="27">
        <v>0.0</v>
      </c>
      <c r="E101" s="27">
        <v>0.016109870303226272</v>
      </c>
      <c r="F101" s="15">
        <v>0.2547452547452547</v>
      </c>
      <c r="G101" s="15">
        <v>1.0</v>
      </c>
      <c r="H101" s="28" t="s">
        <v>400</v>
      </c>
      <c r="I101" s="3" t="s">
        <v>308</v>
      </c>
      <c r="J101" s="3" t="s">
        <v>309</v>
      </c>
      <c r="K101" s="15">
        <v>0.0060105727698280455</v>
      </c>
    </row>
    <row r="102" ht="39.75" customHeight="1">
      <c r="A102" s="3" t="s">
        <v>417</v>
      </c>
      <c r="B102" s="27">
        <v>0.0</v>
      </c>
      <c r="C102" s="27">
        <v>0.0</v>
      </c>
      <c r="D102" s="27">
        <v>-1.2640292820350019E-4</v>
      </c>
      <c r="E102" s="27">
        <v>0.0034394364179562353</v>
      </c>
      <c r="F102" s="15">
        <v>1.0</v>
      </c>
      <c r="G102" s="15">
        <v>1.0</v>
      </c>
      <c r="H102" s="28" t="s">
        <v>400</v>
      </c>
      <c r="I102" s="3" t="s">
        <v>308</v>
      </c>
      <c r="J102" s="3" t="s">
        <v>309</v>
      </c>
      <c r="K102" s="15">
        <v>0.0</v>
      </c>
    </row>
    <row r="103" ht="39.75" customHeight="1">
      <c r="A103" s="3" t="s">
        <v>418</v>
      </c>
      <c r="B103" s="27">
        <v>0.008866021555559097</v>
      </c>
      <c r="C103" s="27">
        <v>0.0036065387777785727</v>
      </c>
      <c r="D103" s="27">
        <v>-3.535146493443911E-4</v>
      </c>
      <c r="E103" s="27">
        <v>0.016868272823787604</v>
      </c>
      <c r="F103" s="15">
        <v>0.6403596403596403</v>
      </c>
      <c r="G103" s="15">
        <v>1.0</v>
      </c>
      <c r="H103" s="28" t="s">
        <v>400</v>
      </c>
      <c r="I103" s="3" t="s">
        <v>308</v>
      </c>
      <c r="J103" s="3" t="s">
        <v>309</v>
      </c>
      <c r="K103" s="15">
        <v>0.003613050164259142</v>
      </c>
    </row>
    <row r="104" ht="39.75" customHeight="1">
      <c r="A104" s="3" t="s">
        <v>419</v>
      </c>
      <c r="B104" s="27">
        <v>-0.023017658509142128</v>
      </c>
      <c r="C104" s="27">
        <v>-0.008162440110653812</v>
      </c>
      <c r="D104" s="27">
        <v>-0.017441993559077613</v>
      </c>
      <c r="E104" s="27">
        <v>0.0</v>
      </c>
      <c r="F104" s="15">
        <v>0.27172827172827174</v>
      </c>
      <c r="G104" s="15">
        <v>1.0</v>
      </c>
      <c r="H104" s="28" t="s">
        <v>400</v>
      </c>
      <c r="I104" s="3" t="s">
        <v>308</v>
      </c>
      <c r="J104" s="3" t="s">
        <v>309</v>
      </c>
      <c r="K104" s="15">
        <v>-0.008129217849397592</v>
      </c>
    </row>
    <row r="105" ht="39.75" customHeight="1">
      <c r="A105" s="3" t="s">
        <v>420</v>
      </c>
      <c r="B105" s="27">
        <v>0.0</v>
      </c>
      <c r="C105" s="27">
        <v>0.0</v>
      </c>
      <c r="D105" s="27">
        <v>-0.004438455607805599</v>
      </c>
      <c r="E105" s="27">
        <v>0.0015677206752308633</v>
      </c>
      <c r="F105" s="15">
        <v>1.0</v>
      </c>
      <c r="G105" s="15">
        <v>1.0</v>
      </c>
      <c r="H105" s="28" t="s">
        <v>400</v>
      </c>
      <c r="I105" s="3" t="s">
        <v>308</v>
      </c>
      <c r="J105" s="3" t="s">
        <v>309</v>
      </c>
      <c r="K105" s="15">
        <v>0.0</v>
      </c>
    </row>
    <row r="106" ht="39.75" customHeight="1">
      <c r="A106" s="3" t="s">
        <v>421</v>
      </c>
      <c r="B106" s="27">
        <v>0.029549024730543452</v>
      </c>
      <c r="C106" s="27">
        <v>0.005042082247748946</v>
      </c>
      <c r="D106" s="27">
        <v>0.0</v>
      </c>
      <c r="E106" s="27">
        <v>0.011367326613244164</v>
      </c>
      <c r="F106" s="15">
        <v>0.13186813186813187</v>
      </c>
      <c r="G106" s="15">
        <v>1.0</v>
      </c>
      <c r="H106" s="28" t="s">
        <v>400</v>
      </c>
      <c r="I106" s="3" t="s">
        <v>308</v>
      </c>
      <c r="J106" s="3" t="s">
        <v>309</v>
      </c>
      <c r="K106" s="15">
        <v>0.005054814935203308</v>
      </c>
    </row>
    <row r="107" ht="39.75" customHeight="1">
      <c r="A107" s="3" t="s">
        <v>422</v>
      </c>
      <c r="B107" s="27">
        <v>0.0</v>
      </c>
      <c r="C107" s="27">
        <v>0.0</v>
      </c>
      <c r="D107" s="27">
        <v>-0.005635888332699508</v>
      </c>
      <c r="E107" s="27">
        <v>0.0</v>
      </c>
      <c r="F107" s="15">
        <v>1.0</v>
      </c>
      <c r="G107" s="15">
        <v>1.0</v>
      </c>
      <c r="H107" s="28" t="s">
        <v>400</v>
      </c>
      <c r="I107" s="3" t="s">
        <v>308</v>
      </c>
      <c r="J107" s="3" t="s">
        <v>309</v>
      </c>
      <c r="K107" s="15">
        <v>0.0</v>
      </c>
    </row>
    <row r="108" ht="39.75" customHeight="1">
      <c r="A108" s="3" t="s">
        <v>423</v>
      </c>
      <c r="B108" s="27">
        <v>0.0</v>
      </c>
      <c r="C108" s="27">
        <v>0.0</v>
      </c>
      <c r="D108" s="27">
        <v>-0.006307659768651192</v>
      </c>
      <c r="E108" s="27">
        <v>0.0017568170689878002</v>
      </c>
      <c r="F108" s="15">
        <v>1.0</v>
      </c>
      <c r="G108" s="15">
        <v>1.0</v>
      </c>
      <c r="H108" s="28" t="s">
        <v>400</v>
      </c>
      <c r="I108" s="3" t="s">
        <v>308</v>
      </c>
      <c r="J108" s="3" t="s">
        <v>309</v>
      </c>
      <c r="K108" s="15">
        <v>0.0</v>
      </c>
    </row>
    <row r="109" ht="39.75" customHeight="1">
      <c r="A109" s="3" t="s">
        <v>424</v>
      </c>
      <c r="B109" s="27">
        <v>0.0</v>
      </c>
      <c r="C109" s="27">
        <v>0.0</v>
      </c>
      <c r="D109" s="27">
        <v>-0.0018560094845825792</v>
      </c>
      <c r="E109" s="27">
        <v>0.004992698064562538</v>
      </c>
      <c r="F109" s="15">
        <v>1.0</v>
      </c>
      <c r="G109" s="15">
        <v>1.0</v>
      </c>
      <c r="H109" s="28" t="s">
        <v>400</v>
      </c>
      <c r="I109" s="3" t="s">
        <v>308</v>
      </c>
      <c r="J109" s="3" t="s">
        <v>309</v>
      </c>
      <c r="K109" s="15">
        <v>0.0</v>
      </c>
    </row>
    <row r="110" ht="39.75" customHeight="1">
      <c r="A110" s="3" t="s">
        <v>425</v>
      </c>
      <c r="B110" s="27">
        <v>0.023270478113355513</v>
      </c>
      <c r="C110" s="27">
        <v>0.006016723160711185</v>
      </c>
      <c r="D110" s="27">
        <v>0.0010146380605579126</v>
      </c>
      <c r="E110" s="27">
        <v>0.010751301937548608</v>
      </c>
      <c r="F110" s="15">
        <v>0.011988011988011988</v>
      </c>
      <c r="G110" s="15">
        <v>1.0</v>
      </c>
      <c r="H110" s="28" t="s">
        <v>400</v>
      </c>
      <c r="I110" s="3" t="s">
        <v>308</v>
      </c>
      <c r="J110" s="3" t="s">
        <v>309</v>
      </c>
      <c r="K110" s="15">
        <v>0.006034859996034499</v>
      </c>
    </row>
    <row r="111" ht="39.75" customHeight="1">
      <c r="A111" s="3" t="s">
        <v>426</v>
      </c>
      <c r="B111" s="27">
        <v>-0.008199630185989263</v>
      </c>
      <c r="C111" s="27">
        <v>-0.0014559352577653377</v>
      </c>
      <c r="D111" s="27">
        <v>-0.0059331750891784074</v>
      </c>
      <c r="E111" s="27">
        <v>0.0</v>
      </c>
      <c r="F111" s="15">
        <v>0.5114885114885115</v>
      </c>
      <c r="G111" s="15">
        <v>1.0</v>
      </c>
      <c r="H111" s="28" t="s">
        <v>400</v>
      </c>
      <c r="I111" s="3" t="s">
        <v>308</v>
      </c>
      <c r="J111" s="3" t="s">
        <v>309</v>
      </c>
      <c r="K111" s="15">
        <v>-0.0014548758982099491</v>
      </c>
    </row>
    <row r="112" ht="39.75" customHeight="1">
      <c r="A112" s="3" t="s">
        <v>427</v>
      </c>
      <c r="B112" s="27">
        <v>0.0</v>
      </c>
      <c r="C112" s="27">
        <v>0.0</v>
      </c>
      <c r="D112" s="27">
        <v>-0.0013843548405647467</v>
      </c>
      <c r="E112" s="27">
        <v>0.0</v>
      </c>
      <c r="F112" s="15">
        <v>1.0</v>
      </c>
      <c r="G112" s="15">
        <v>1.0</v>
      </c>
      <c r="H112" s="28" t="s">
        <v>400</v>
      </c>
      <c r="I112" s="3" t="s">
        <v>308</v>
      </c>
      <c r="J112" s="3" t="s">
        <v>309</v>
      </c>
      <c r="K112" s="15">
        <v>0.0</v>
      </c>
    </row>
    <row r="113" ht="39.75" customHeight="1">
      <c r="A113" s="3" t="s">
        <v>428</v>
      </c>
      <c r="B113" s="27">
        <v>0.0</v>
      </c>
      <c r="C113" s="27">
        <v>0.0</v>
      </c>
      <c r="D113" s="27">
        <v>-0.0025948510696332896</v>
      </c>
      <c r="E113" s="27">
        <v>0.004494631655037513</v>
      </c>
      <c r="F113" s="15">
        <v>1.0</v>
      </c>
      <c r="G113" s="15">
        <v>1.0</v>
      </c>
      <c r="H113" s="28" t="s">
        <v>400</v>
      </c>
      <c r="I113" s="3" t="s">
        <v>308</v>
      </c>
      <c r="J113" s="3" t="s">
        <v>309</v>
      </c>
      <c r="K113" s="15">
        <v>0.0</v>
      </c>
    </row>
    <row r="114" ht="39.75" customHeight="1">
      <c r="A114" s="3" t="s">
        <v>429</v>
      </c>
      <c r="B114" s="27">
        <v>0.0</v>
      </c>
      <c r="C114" s="27">
        <v>0.0</v>
      </c>
      <c r="D114" s="27">
        <v>0.0</v>
      </c>
      <c r="E114" s="27">
        <v>0.002441627149948978</v>
      </c>
      <c r="F114" s="15">
        <v>1.0</v>
      </c>
      <c r="G114" s="15">
        <v>1.0</v>
      </c>
      <c r="H114" s="28" t="s">
        <v>400</v>
      </c>
      <c r="I114" s="3" t="s">
        <v>308</v>
      </c>
      <c r="J114" s="3" t="s">
        <v>309</v>
      </c>
      <c r="K114" s="15">
        <v>0.0</v>
      </c>
    </row>
    <row r="115" ht="39.75" customHeight="1">
      <c r="A115" s="3" t="s">
        <v>430</v>
      </c>
      <c r="B115" s="27">
        <v>0.0</v>
      </c>
      <c r="C115" s="27">
        <v>0.0</v>
      </c>
      <c r="D115" s="27">
        <v>0.0</v>
      </c>
      <c r="E115" s="27">
        <v>0.0</v>
      </c>
      <c r="F115" s="15">
        <v>1.0</v>
      </c>
      <c r="G115" s="15">
        <v>1.0</v>
      </c>
      <c r="H115" s="28" t="s">
        <v>400</v>
      </c>
      <c r="I115" s="3" t="s">
        <v>308</v>
      </c>
      <c r="J115" s="3" t="s">
        <v>309</v>
      </c>
      <c r="K115" s="15">
        <v>0.0</v>
      </c>
    </row>
    <row r="116" ht="39.75" customHeight="1">
      <c r="A116" s="3" t="s">
        <v>431</v>
      </c>
      <c r="B116" s="27">
        <v>0.0</v>
      </c>
      <c r="C116" s="27">
        <v>0.0</v>
      </c>
      <c r="D116" s="27">
        <v>-2.510207800111296E-5</v>
      </c>
      <c r="E116" s="27">
        <v>0.0</v>
      </c>
      <c r="F116" s="15">
        <v>1.0</v>
      </c>
      <c r="G116" s="15">
        <v>1.0</v>
      </c>
      <c r="H116" s="28" t="s">
        <v>400</v>
      </c>
      <c r="I116" s="3" t="s">
        <v>308</v>
      </c>
      <c r="J116" s="3" t="s">
        <v>309</v>
      </c>
      <c r="K116" s="15">
        <v>0.0</v>
      </c>
    </row>
    <row r="117" ht="39.75" customHeight="1">
      <c r="A117" s="3" t="s">
        <v>432</v>
      </c>
      <c r="B117" s="27">
        <v>0.04921528436591825</v>
      </c>
      <c r="C117" s="27">
        <v>0.009480047460239595</v>
      </c>
      <c r="D117" s="27">
        <v>0.0016781215433194076</v>
      </c>
      <c r="E117" s="27">
        <v>0.015257136847792438</v>
      </c>
      <c r="F117" s="15">
        <v>0.01098901098901099</v>
      </c>
      <c r="G117" s="15">
        <v>1.0</v>
      </c>
      <c r="H117" s="28" t="s">
        <v>400</v>
      </c>
      <c r="I117" s="3" t="s">
        <v>308</v>
      </c>
      <c r="J117" s="3" t="s">
        <v>309</v>
      </c>
      <c r="K117" s="15">
        <v>0.009525125444702963</v>
      </c>
    </row>
    <row r="118" ht="39.75" customHeight="1">
      <c r="A118" s="3" t="s">
        <v>433</v>
      </c>
      <c r="B118" s="27">
        <v>0.013776399236590613</v>
      </c>
      <c r="C118" s="27">
        <v>0.001744197577797845</v>
      </c>
      <c r="D118" s="27">
        <v>0.0</v>
      </c>
      <c r="E118" s="27">
        <v>0.006377959234181522</v>
      </c>
      <c r="F118" s="15">
        <v>0.5274725274725275</v>
      </c>
      <c r="G118" s="15">
        <v>1.0</v>
      </c>
      <c r="H118" s="28" t="s">
        <v>400</v>
      </c>
      <c r="I118" s="3" t="s">
        <v>308</v>
      </c>
      <c r="J118" s="3" t="s">
        <v>309</v>
      </c>
      <c r="K118" s="15">
        <v>0.0017457195751524428</v>
      </c>
    </row>
    <row r="119" ht="39.75" customHeight="1">
      <c r="A119" s="3" t="s">
        <v>434</v>
      </c>
      <c r="B119" s="27">
        <v>-0.008983603344593583</v>
      </c>
      <c r="C119" s="27">
        <v>-0.002678565654905759</v>
      </c>
      <c r="D119" s="27">
        <v>-0.00812162705225843</v>
      </c>
      <c r="E119" s="27">
        <v>0.0</v>
      </c>
      <c r="F119" s="15">
        <v>0.32167832167832167</v>
      </c>
      <c r="G119" s="15">
        <v>1.0</v>
      </c>
      <c r="H119" s="28" t="s">
        <v>400</v>
      </c>
      <c r="I119" s="3" t="s">
        <v>308</v>
      </c>
      <c r="J119" s="3" t="s">
        <v>309</v>
      </c>
      <c r="K119" s="15">
        <v>-0.002674981498768635</v>
      </c>
    </row>
    <row r="120" ht="39.75" customHeight="1">
      <c r="A120" s="3" t="s">
        <v>435</v>
      </c>
      <c r="B120" s="27">
        <v>0.07486445677049602</v>
      </c>
      <c r="C120" s="27">
        <v>0.014265923601158784</v>
      </c>
      <c r="D120" s="27">
        <v>0.007301454655394947</v>
      </c>
      <c r="E120" s="27">
        <v>0.01976652711745952</v>
      </c>
      <c r="F120" s="15">
        <v>9.99000999000999E-4</v>
      </c>
      <c r="G120" s="15">
        <v>0.2137862137862138</v>
      </c>
      <c r="H120" s="28" t="s">
        <v>400</v>
      </c>
      <c r="I120" s="3" t="s">
        <v>308</v>
      </c>
      <c r="J120" s="3" t="s">
        <v>309</v>
      </c>
      <c r="K120" s="15">
        <v>0.014368167511971027</v>
      </c>
    </row>
    <row r="121" ht="39.75" customHeight="1">
      <c r="A121" s="3" t="s">
        <v>436</v>
      </c>
      <c r="B121" s="27">
        <v>-0.015006198387200766</v>
      </c>
      <c r="C121" s="27">
        <v>-0.003901166112763225</v>
      </c>
      <c r="D121" s="27">
        <v>-0.011788792033954363</v>
      </c>
      <c r="E121" s="27">
        <v>0.0</v>
      </c>
      <c r="F121" s="15">
        <v>0.32867132867132864</v>
      </c>
      <c r="G121" s="15">
        <v>1.0</v>
      </c>
      <c r="H121" s="28" t="s">
        <v>400</v>
      </c>
      <c r="I121" s="3" t="s">
        <v>308</v>
      </c>
      <c r="J121" s="3" t="s">
        <v>309</v>
      </c>
      <c r="K121" s="15">
        <v>-0.0038935664499711318</v>
      </c>
    </row>
    <row r="122" ht="39.75" customHeight="1">
      <c r="A122" s="3" t="s">
        <v>437</v>
      </c>
      <c r="B122" s="27">
        <v>-0.02303738365256768</v>
      </c>
      <c r="C122" s="27">
        <v>-0.0052854861879789</v>
      </c>
      <c r="D122" s="27">
        <v>-0.010832475075699195</v>
      </c>
      <c r="E122" s="27">
        <v>-1.1357285088540218E-4</v>
      </c>
      <c r="F122" s="15">
        <v>0.05194805194805195</v>
      </c>
      <c r="G122" s="15">
        <v>1.0</v>
      </c>
      <c r="H122" s="28" t="s">
        <v>400</v>
      </c>
      <c r="I122" s="3" t="s">
        <v>308</v>
      </c>
      <c r="J122" s="3" t="s">
        <v>309</v>
      </c>
      <c r="K122" s="15">
        <v>-0.005271542582917793</v>
      </c>
    </row>
    <row r="123" ht="39.75" customHeight="1">
      <c r="A123" s="3" t="s">
        <v>438</v>
      </c>
      <c r="B123" s="27">
        <v>0.0</v>
      </c>
      <c r="C123" s="27">
        <v>0.0</v>
      </c>
      <c r="D123" s="27">
        <v>-0.005931431613648092</v>
      </c>
      <c r="E123" s="27">
        <v>0.0013279568975512917</v>
      </c>
      <c r="F123" s="15">
        <v>1.0</v>
      </c>
      <c r="G123" s="15">
        <v>1.0</v>
      </c>
      <c r="H123" s="28" t="s">
        <v>400</v>
      </c>
      <c r="I123" s="3" t="s">
        <v>308</v>
      </c>
      <c r="J123" s="3" t="s">
        <v>309</v>
      </c>
      <c r="K123" s="15">
        <v>0.0</v>
      </c>
    </row>
    <row r="124" ht="39.75" customHeight="1">
      <c r="A124" s="3" t="s">
        <v>439</v>
      </c>
      <c r="B124" s="27">
        <v>-0.021531015364712237</v>
      </c>
      <c r="C124" s="27">
        <v>-0.001985385645121289</v>
      </c>
      <c r="D124" s="27">
        <v>-0.005743656402116428</v>
      </c>
      <c r="E124" s="27">
        <v>0.0</v>
      </c>
      <c r="F124" s="15">
        <v>0.28471528471528473</v>
      </c>
      <c r="G124" s="15">
        <v>1.0</v>
      </c>
      <c r="H124" s="28" t="s">
        <v>400</v>
      </c>
      <c r="I124" s="3" t="s">
        <v>308</v>
      </c>
      <c r="J124" s="3" t="s">
        <v>309</v>
      </c>
      <c r="K124" s="15">
        <v>-0.0019834160707119085</v>
      </c>
    </row>
    <row r="125" ht="39.75" customHeight="1">
      <c r="A125" s="3" t="s">
        <v>440</v>
      </c>
      <c r="B125" s="27">
        <v>-0.024769071394351392</v>
      </c>
      <c r="C125" s="27">
        <v>-0.004508274644703335</v>
      </c>
      <c r="D125" s="27">
        <v>-0.010676661231209151</v>
      </c>
      <c r="E125" s="27">
        <v>0.0</v>
      </c>
      <c r="F125" s="15">
        <v>0.15484515484515485</v>
      </c>
      <c r="G125" s="15">
        <v>1.0</v>
      </c>
      <c r="H125" s="28" t="s">
        <v>400</v>
      </c>
      <c r="I125" s="3" t="s">
        <v>308</v>
      </c>
      <c r="J125" s="3" t="s">
        <v>309</v>
      </c>
      <c r="K125" s="15">
        <v>-0.004498127628805778</v>
      </c>
    </row>
    <row r="126" ht="39.75" customHeight="1">
      <c r="A126" s="3" t="s">
        <v>441</v>
      </c>
      <c r="B126" s="27">
        <v>-0.00704476390398998</v>
      </c>
      <c r="C126" s="27">
        <v>-0.0025510871497057158</v>
      </c>
      <c r="D126" s="27">
        <v>-0.012347369921979382</v>
      </c>
      <c r="E126" s="27">
        <v>0.0</v>
      </c>
      <c r="F126" s="15">
        <v>0.5634365634365635</v>
      </c>
      <c r="G126" s="15">
        <v>1.0</v>
      </c>
      <c r="H126" s="28" t="s">
        <v>400</v>
      </c>
      <c r="I126" s="3" t="s">
        <v>308</v>
      </c>
      <c r="J126" s="3" t="s">
        <v>309</v>
      </c>
      <c r="K126" s="15">
        <v>-0.002547835892217744</v>
      </c>
    </row>
    <row r="127" ht="39.75" customHeight="1">
      <c r="A127" s="3" t="s">
        <v>442</v>
      </c>
      <c r="B127" s="27">
        <v>0.005805998215071617</v>
      </c>
      <c r="C127" s="27">
        <v>4.485068553500155E-4</v>
      </c>
      <c r="D127" s="27">
        <v>0.0</v>
      </c>
      <c r="E127" s="27">
        <v>0.002737753850886799</v>
      </c>
      <c r="F127" s="15">
        <v>0.7832167832167832</v>
      </c>
      <c r="G127" s="15">
        <v>1.0</v>
      </c>
      <c r="H127" s="28" t="s">
        <v>400</v>
      </c>
      <c r="I127" s="3" t="s">
        <v>308</v>
      </c>
      <c r="J127" s="3" t="s">
        <v>309</v>
      </c>
      <c r="K127" s="15">
        <v>4.4860744958816987E-4</v>
      </c>
    </row>
    <row r="128" ht="39.75" customHeight="1">
      <c r="A128" s="3" t="s">
        <v>443</v>
      </c>
      <c r="B128" s="27">
        <v>-0.028881388261708614</v>
      </c>
      <c r="C128" s="27">
        <v>-0.0066740249343767485</v>
      </c>
      <c r="D128" s="27">
        <v>-0.01409173612451097</v>
      </c>
      <c r="E128" s="27">
        <v>-7.608947882739145E-4</v>
      </c>
      <c r="F128" s="15">
        <v>0.05094905094905095</v>
      </c>
      <c r="G128" s="15">
        <v>1.0</v>
      </c>
      <c r="H128" s="28" t="s">
        <v>400</v>
      </c>
      <c r="I128" s="3" t="s">
        <v>308</v>
      </c>
      <c r="J128" s="3" t="s">
        <v>309</v>
      </c>
      <c r="K128" s="15">
        <v>-0.0066518030938197865</v>
      </c>
    </row>
    <row r="129" ht="39.75" customHeight="1">
      <c r="A129" s="3" t="s">
        <v>444</v>
      </c>
      <c r="B129" s="27">
        <v>0.0</v>
      </c>
      <c r="C129" s="27">
        <v>0.0</v>
      </c>
      <c r="D129" s="27">
        <v>-9.88555427385367E-4</v>
      </c>
      <c r="E129" s="27">
        <v>0.0026076238770020694</v>
      </c>
      <c r="F129" s="15">
        <v>1.0</v>
      </c>
      <c r="G129" s="15">
        <v>1.0</v>
      </c>
      <c r="H129" s="28" t="s">
        <v>400</v>
      </c>
      <c r="I129" s="3" t="s">
        <v>308</v>
      </c>
      <c r="J129" s="3" t="s">
        <v>309</v>
      </c>
      <c r="K129" s="15">
        <v>0.0</v>
      </c>
    </row>
    <row r="130" ht="39.75" customHeight="1">
      <c r="A130" s="3" t="s">
        <v>445</v>
      </c>
      <c r="B130" s="27">
        <v>0.044030191340622936</v>
      </c>
      <c r="C130" s="27">
        <v>0.009803882077531027</v>
      </c>
      <c r="D130" s="27">
        <v>0.002955637702150518</v>
      </c>
      <c r="E130" s="27">
        <v>0.015963065228629204</v>
      </c>
      <c r="F130" s="15">
        <v>0.005994005994005994</v>
      </c>
      <c r="G130" s="15">
        <v>1.0</v>
      </c>
      <c r="H130" s="28" t="s">
        <v>400</v>
      </c>
      <c r="I130" s="3" t="s">
        <v>308</v>
      </c>
      <c r="J130" s="3" t="s">
        <v>309</v>
      </c>
      <c r="K130" s="15">
        <v>0.009852097566936033</v>
      </c>
    </row>
    <row r="131" ht="39.75" customHeight="1">
      <c r="A131" s="3" t="s">
        <v>446</v>
      </c>
      <c r="B131" s="27">
        <v>0.0</v>
      </c>
      <c r="C131" s="27">
        <v>0.0</v>
      </c>
      <c r="D131" s="27">
        <v>-0.009311941665273034</v>
      </c>
      <c r="E131" s="27">
        <v>9.8198146058814E-4</v>
      </c>
      <c r="F131" s="15">
        <v>1.0</v>
      </c>
      <c r="G131" s="15">
        <v>1.0</v>
      </c>
      <c r="H131" s="28" t="s">
        <v>400</v>
      </c>
      <c r="I131" s="3" t="s">
        <v>308</v>
      </c>
      <c r="J131" s="3" t="s">
        <v>309</v>
      </c>
      <c r="K131" s="15">
        <v>0.0</v>
      </c>
    </row>
    <row r="132" ht="39.75" customHeight="1">
      <c r="A132" s="3" t="s">
        <v>447</v>
      </c>
      <c r="B132" s="27">
        <v>0.010468740733714007</v>
      </c>
      <c r="C132" s="27">
        <v>0.0013922213343479245</v>
      </c>
      <c r="D132" s="27">
        <v>0.0</v>
      </c>
      <c r="E132" s="27">
        <v>0.0058046567526635375</v>
      </c>
      <c r="F132" s="15">
        <v>0.6233766233766234</v>
      </c>
      <c r="G132" s="15">
        <v>1.0</v>
      </c>
      <c r="H132" s="28" t="s">
        <v>400</v>
      </c>
      <c r="I132" s="3" t="s">
        <v>308</v>
      </c>
      <c r="J132" s="3" t="s">
        <v>309</v>
      </c>
      <c r="K132" s="15">
        <v>0.0013931909243789316</v>
      </c>
    </row>
    <row r="133" ht="39.75" customHeight="1">
      <c r="A133" s="3" t="s">
        <v>448</v>
      </c>
      <c r="B133" s="27">
        <v>0.0</v>
      </c>
      <c r="C133" s="27">
        <v>0.0</v>
      </c>
      <c r="D133" s="27">
        <v>-0.0073194147468970275</v>
      </c>
      <c r="E133" s="27">
        <v>0.0021979594094589314</v>
      </c>
      <c r="F133" s="15">
        <v>1.0</v>
      </c>
      <c r="G133" s="15">
        <v>1.0</v>
      </c>
      <c r="H133" s="28" t="s">
        <v>400</v>
      </c>
      <c r="I133" s="3" t="s">
        <v>308</v>
      </c>
      <c r="J133" s="3" t="s">
        <v>309</v>
      </c>
      <c r="K133" s="15">
        <v>0.0</v>
      </c>
    </row>
    <row r="134" ht="39.75" customHeight="1">
      <c r="A134" s="3" t="s">
        <v>449</v>
      </c>
      <c r="B134" s="27">
        <v>-0.017326087008212306</v>
      </c>
      <c r="C134" s="27">
        <v>-0.0033016019113571585</v>
      </c>
      <c r="D134" s="27">
        <v>-0.007625273866872238</v>
      </c>
      <c r="E134" s="27">
        <v>0.0</v>
      </c>
      <c r="F134" s="15">
        <v>0.11588411588411589</v>
      </c>
      <c r="G134" s="15">
        <v>1.0</v>
      </c>
      <c r="H134" s="28" t="s">
        <v>400</v>
      </c>
      <c r="I134" s="3" t="s">
        <v>308</v>
      </c>
      <c r="J134" s="3" t="s">
        <v>309</v>
      </c>
      <c r="K134" s="15">
        <v>-0.00329615761704559</v>
      </c>
    </row>
    <row r="135" ht="39.75" customHeight="1">
      <c r="A135" s="3" t="s">
        <v>450</v>
      </c>
      <c r="B135" s="27">
        <v>0.026246473345542212</v>
      </c>
      <c r="C135" s="27">
        <v>0.00619298838714908</v>
      </c>
      <c r="D135" s="27">
        <v>0.0</v>
      </c>
      <c r="E135" s="27">
        <v>0.01681178903202865</v>
      </c>
      <c r="F135" s="15">
        <v>0.3916083916083916</v>
      </c>
      <c r="G135" s="15">
        <v>1.0</v>
      </c>
      <c r="H135" s="28" t="s">
        <v>400</v>
      </c>
      <c r="I135" s="3" t="s">
        <v>308</v>
      </c>
      <c r="J135" s="3" t="s">
        <v>309</v>
      </c>
      <c r="K135" s="15">
        <v>0.006212204587819264</v>
      </c>
    </row>
    <row r="136" ht="39.75" customHeight="1">
      <c r="A136" s="3" t="s">
        <v>451</v>
      </c>
      <c r="B136" s="27">
        <v>0.08043696473237225</v>
      </c>
      <c r="C136" s="27">
        <v>0.010443941498593005</v>
      </c>
      <c r="D136" s="27">
        <v>0.003849603835732072</v>
      </c>
      <c r="E136" s="27">
        <v>0.015588175806296426</v>
      </c>
      <c r="F136" s="15">
        <v>0.001998001998001998</v>
      </c>
      <c r="G136" s="15">
        <v>0.4035964035964036</v>
      </c>
      <c r="H136" s="28" t="s">
        <v>400</v>
      </c>
      <c r="I136" s="3" t="s">
        <v>308</v>
      </c>
      <c r="J136" s="3" t="s">
        <v>309</v>
      </c>
      <c r="K136" s="15">
        <v>0.010498669816118932</v>
      </c>
    </row>
    <row r="137" ht="39.75" customHeight="1">
      <c r="A137" s="3" t="s">
        <v>452</v>
      </c>
      <c r="B137" s="27">
        <v>0.0</v>
      </c>
      <c r="C137" s="27">
        <v>0.0</v>
      </c>
      <c r="D137" s="27">
        <v>-0.0038018095905708086</v>
      </c>
      <c r="E137" s="27">
        <v>5.276455299178574E-4</v>
      </c>
      <c r="F137" s="15">
        <v>1.0</v>
      </c>
      <c r="G137" s="15">
        <v>1.0</v>
      </c>
      <c r="H137" s="28" t="s">
        <v>400</v>
      </c>
      <c r="I137" s="3" t="s">
        <v>308</v>
      </c>
      <c r="J137" s="3" t="s">
        <v>309</v>
      </c>
      <c r="K137" s="15">
        <v>0.0</v>
      </c>
    </row>
    <row r="138" ht="39.75" customHeight="1">
      <c r="A138" s="3" t="s">
        <v>453</v>
      </c>
      <c r="B138" s="27">
        <v>0.0</v>
      </c>
      <c r="C138" s="27">
        <v>0.0</v>
      </c>
      <c r="D138" s="27">
        <v>0.0</v>
      </c>
      <c r="E138" s="27">
        <v>0.001982801073731955</v>
      </c>
      <c r="F138" s="15">
        <v>1.0</v>
      </c>
      <c r="G138" s="15">
        <v>1.0</v>
      </c>
      <c r="H138" s="28" t="s">
        <v>400</v>
      </c>
      <c r="I138" s="3" t="s">
        <v>308</v>
      </c>
      <c r="J138" s="3" t="s">
        <v>309</v>
      </c>
      <c r="K138" s="15">
        <v>0.0</v>
      </c>
    </row>
    <row r="139" ht="39.75" customHeight="1">
      <c r="A139" s="3" t="s">
        <v>454</v>
      </c>
      <c r="B139" s="27">
        <v>-0.035500196988382825</v>
      </c>
      <c r="C139" s="27">
        <v>-0.006461471058668674</v>
      </c>
      <c r="D139" s="27">
        <v>-0.011830845544160301</v>
      </c>
      <c r="E139" s="27">
        <v>0.0</v>
      </c>
      <c r="F139" s="15">
        <v>0.04995004995004995</v>
      </c>
      <c r="G139" s="15">
        <v>1.0</v>
      </c>
      <c r="H139" s="28" t="s">
        <v>400</v>
      </c>
      <c r="I139" s="3" t="s">
        <v>308</v>
      </c>
      <c r="J139" s="3" t="s">
        <v>309</v>
      </c>
      <c r="K139" s="15">
        <v>-0.006440640643736177</v>
      </c>
    </row>
    <row r="140" ht="39.75" customHeight="1">
      <c r="A140" s="3" t="s">
        <v>455</v>
      </c>
      <c r="B140" s="27">
        <v>0.0</v>
      </c>
      <c r="C140" s="27">
        <v>0.0</v>
      </c>
      <c r="D140" s="27">
        <v>-0.0019375685019049794</v>
      </c>
      <c r="E140" s="27">
        <v>0.005299044407235984</v>
      </c>
      <c r="F140" s="15">
        <v>1.0</v>
      </c>
      <c r="G140" s="15">
        <v>1.0</v>
      </c>
      <c r="H140" s="28" t="s">
        <v>400</v>
      </c>
      <c r="I140" s="3" t="s">
        <v>308</v>
      </c>
      <c r="J140" s="3" t="s">
        <v>309</v>
      </c>
      <c r="K140" s="15">
        <v>0.0</v>
      </c>
    </row>
    <row r="141" ht="39.75" customHeight="1">
      <c r="A141" s="3" t="s">
        <v>456</v>
      </c>
      <c r="B141" s="27">
        <v>0.025602227434010555</v>
      </c>
      <c r="C141" s="27">
        <v>0.008855305825441858</v>
      </c>
      <c r="D141" s="27">
        <v>0.0022727411315932736</v>
      </c>
      <c r="E141" s="27">
        <v>0.016727374401898754</v>
      </c>
      <c r="F141" s="15">
        <v>0.01998001998001998</v>
      </c>
      <c r="G141" s="15">
        <v>1.0</v>
      </c>
      <c r="H141" s="28" t="s">
        <v>400</v>
      </c>
      <c r="I141" s="3" t="s">
        <v>308</v>
      </c>
      <c r="J141" s="3" t="s">
        <v>309</v>
      </c>
      <c r="K141" s="15">
        <v>0.0088946300363363</v>
      </c>
    </row>
    <row r="142" ht="39.75" customHeight="1">
      <c r="A142" s="3" t="s">
        <v>457</v>
      </c>
      <c r="B142" s="27">
        <v>0.0</v>
      </c>
      <c r="C142" s="27">
        <v>0.0</v>
      </c>
      <c r="D142" s="27">
        <v>-0.003442793146192979</v>
      </c>
      <c r="E142" s="27">
        <v>0.0</v>
      </c>
      <c r="F142" s="15">
        <v>1.0</v>
      </c>
      <c r="G142" s="15">
        <v>1.0</v>
      </c>
      <c r="H142" s="28" t="s">
        <v>400</v>
      </c>
      <c r="I142" s="3" t="s">
        <v>308</v>
      </c>
      <c r="J142" s="3" t="s">
        <v>309</v>
      </c>
      <c r="K142" s="15">
        <v>0.0</v>
      </c>
    </row>
    <row r="143" ht="39.75" customHeight="1">
      <c r="A143" s="3" t="s">
        <v>458</v>
      </c>
      <c r="B143" s="27">
        <v>0.0</v>
      </c>
      <c r="C143" s="27">
        <v>0.0</v>
      </c>
      <c r="D143" s="27">
        <v>0.0</v>
      </c>
      <c r="E143" s="27">
        <v>0.004606289852844326</v>
      </c>
      <c r="F143" s="15">
        <v>1.0</v>
      </c>
      <c r="G143" s="15">
        <v>1.0</v>
      </c>
      <c r="H143" s="28" t="s">
        <v>400</v>
      </c>
      <c r="I143" s="3" t="s">
        <v>308</v>
      </c>
      <c r="J143" s="3" t="s">
        <v>309</v>
      </c>
      <c r="K143" s="15">
        <v>0.0</v>
      </c>
    </row>
    <row r="144" ht="39.75" customHeight="1">
      <c r="A144" s="3" t="s">
        <v>459</v>
      </c>
      <c r="B144" s="27">
        <v>-0.04765947089088853</v>
      </c>
      <c r="C144" s="27">
        <v>-0.004394703536179958</v>
      </c>
      <c r="D144" s="27">
        <v>-0.008265875994818546</v>
      </c>
      <c r="E144" s="27">
        <v>0.0</v>
      </c>
      <c r="F144" s="15">
        <v>0.11288711288711288</v>
      </c>
      <c r="G144" s="15">
        <v>1.0</v>
      </c>
      <c r="H144" s="28" t="s">
        <v>400</v>
      </c>
      <c r="I144" s="3" t="s">
        <v>308</v>
      </c>
      <c r="J144" s="3" t="s">
        <v>309</v>
      </c>
      <c r="K144" s="15">
        <v>-0.0043850609571914</v>
      </c>
    </row>
    <row r="145" ht="39.75" customHeight="1">
      <c r="A145" s="3" t="s">
        <v>460</v>
      </c>
      <c r="B145" s="27">
        <v>0.0</v>
      </c>
      <c r="C145" s="27">
        <v>0.0</v>
      </c>
      <c r="D145" s="27">
        <v>0.0</v>
      </c>
      <c r="E145" s="27">
        <v>0.003452905880449213</v>
      </c>
      <c r="F145" s="15">
        <v>1.0</v>
      </c>
      <c r="G145" s="15">
        <v>1.0</v>
      </c>
      <c r="H145" s="28" t="s">
        <v>400</v>
      </c>
      <c r="I145" s="3" t="s">
        <v>308</v>
      </c>
      <c r="J145" s="3" t="s">
        <v>309</v>
      </c>
      <c r="K145" s="15">
        <v>0.0</v>
      </c>
    </row>
    <row r="146" ht="39.75" customHeight="1">
      <c r="A146" s="3" t="s">
        <v>461</v>
      </c>
      <c r="B146" s="27">
        <v>0.0</v>
      </c>
      <c r="C146" s="27">
        <v>0.0</v>
      </c>
      <c r="D146" s="27">
        <v>0.0</v>
      </c>
      <c r="E146" s="27">
        <v>0.0</v>
      </c>
      <c r="F146" s="15">
        <v>1.0</v>
      </c>
      <c r="G146" s="15">
        <v>1.0</v>
      </c>
      <c r="H146" s="28" t="s">
        <v>400</v>
      </c>
      <c r="I146" s="3" t="s">
        <v>308</v>
      </c>
      <c r="J146" s="3" t="s">
        <v>309</v>
      </c>
      <c r="K146" s="15">
        <v>0.0</v>
      </c>
    </row>
    <row r="147" ht="39.75" customHeight="1">
      <c r="A147" s="3" t="s">
        <v>462</v>
      </c>
      <c r="B147" s="27">
        <v>0.0</v>
      </c>
      <c r="C147" s="27">
        <v>0.0</v>
      </c>
      <c r="D147" s="27">
        <v>0.0</v>
      </c>
      <c r="E147" s="27">
        <v>2.2267830875057334E-4</v>
      </c>
      <c r="F147" s="15">
        <v>1.0</v>
      </c>
      <c r="G147" s="15">
        <v>1.0</v>
      </c>
      <c r="H147" s="28" t="s">
        <v>400</v>
      </c>
      <c r="I147" s="3" t="s">
        <v>308</v>
      </c>
      <c r="J147" s="3" t="s">
        <v>309</v>
      </c>
      <c r="K147" s="15">
        <v>0.0</v>
      </c>
    </row>
    <row r="148" ht="39.75" customHeight="1">
      <c r="A148" s="3" t="s">
        <v>463</v>
      </c>
      <c r="B148" s="27">
        <v>0.0</v>
      </c>
      <c r="C148" s="27">
        <v>0.0</v>
      </c>
      <c r="D148" s="27">
        <v>0.0</v>
      </c>
      <c r="E148" s="27">
        <v>0.0</v>
      </c>
      <c r="F148" s="15">
        <v>1.0</v>
      </c>
      <c r="G148" s="15">
        <v>1.0</v>
      </c>
      <c r="H148" s="28" t="s">
        <v>400</v>
      </c>
      <c r="I148" s="3" t="s">
        <v>308</v>
      </c>
      <c r="J148" s="3" t="s">
        <v>309</v>
      </c>
      <c r="K148" s="15">
        <v>0.0</v>
      </c>
    </row>
    <row r="149" ht="39.75" customHeight="1">
      <c r="A149" s="3" t="s">
        <v>464</v>
      </c>
      <c r="B149" s="27">
        <v>0.0</v>
      </c>
      <c r="C149" s="27">
        <v>0.0</v>
      </c>
      <c r="D149" s="27">
        <v>0.0</v>
      </c>
      <c r="E149" s="27">
        <v>0.0010317605886139359</v>
      </c>
      <c r="F149" s="15">
        <v>1.0</v>
      </c>
      <c r="G149" s="15">
        <v>1.0</v>
      </c>
      <c r="H149" s="28" t="s">
        <v>400</v>
      </c>
      <c r="I149" s="3" t="s">
        <v>308</v>
      </c>
      <c r="J149" s="3" t="s">
        <v>309</v>
      </c>
      <c r="K149" s="15">
        <v>0.0</v>
      </c>
    </row>
    <row r="150" ht="39.75" customHeight="1">
      <c r="A150" s="3" t="s">
        <v>465</v>
      </c>
      <c r="B150" s="27">
        <v>0.0</v>
      </c>
      <c r="C150" s="27">
        <v>0.0</v>
      </c>
      <c r="D150" s="27">
        <v>0.0</v>
      </c>
      <c r="E150" s="27">
        <v>0.0024520569877630634</v>
      </c>
      <c r="F150" s="15">
        <v>1.0</v>
      </c>
      <c r="G150" s="15">
        <v>1.0</v>
      </c>
      <c r="H150" s="28" t="s">
        <v>400</v>
      </c>
      <c r="I150" s="3" t="s">
        <v>308</v>
      </c>
      <c r="J150" s="3" t="s">
        <v>309</v>
      </c>
      <c r="K150" s="15">
        <v>0.0</v>
      </c>
    </row>
    <row r="151" ht="39.75" customHeight="1">
      <c r="A151" s="3" t="s">
        <v>466</v>
      </c>
      <c r="B151" s="27">
        <v>0.0</v>
      </c>
      <c r="C151" s="27">
        <v>0.0</v>
      </c>
      <c r="D151" s="27">
        <v>0.0</v>
      </c>
      <c r="E151" s="27">
        <v>0.0</v>
      </c>
      <c r="F151" s="15">
        <v>1.0</v>
      </c>
      <c r="G151" s="15">
        <v>1.0</v>
      </c>
      <c r="H151" s="28" t="s">
        <v>400</v>
      </c>
      <c r="I151" s="3" t="s">
        <v>308</v>
      </c>
      <c r="J151" s="3" t="s">
        <v>309</v>
      </c>
      <c r="K151" s="15">
        <v>0.0</v>
      </c>
    </row>
    <row r="152" ht="39.75" customHeight="1">
      <c r="A152" s="3" t="s">
        <v>467</v>
      </c>
      <c r="B152" s="27">
        <v>0.0</v>
      </c>
      <c r="C152" s="27">
        <v>0.0</v>
      </c>
      <c r="D152" s="27">
        <v>0.0</v>
      </c>
      <c r="E152" s="27">
        <v>0.0</v>
      </c>
      <c r="F152" s="15">
        <v>1.0</v>
      </c>
      <c r="G152" s="15">
        <v>1.0</v>
      </c>
      <c r="H152" s="28" t="s">
        <v>400</v>
      </c>
      <c r="I152" s="3" t="s">
        <v>308</v>
      </c>
      <c r="J152" s="3" t="s">
        <v>309</v>
      </c>
      <c r="K152" s="15">
        <v>0.0</v>
      </c>
    </row>
    <row r="153" ht="39.75" customHeight="1">
      <c r="A153" s="3" t="s">
        <v>469</v>
      </c>
      <c r="B153" s="27">
        <v>0.0</v>
      </c>
      <c r="C153" s="27">
        <v>0.0</v>
      </c>
      <c r="D153" s="27">
        <v>0.0</v>
      </c>
      <c r="E153" s="27">
        <v>0.0</v>
      </c>
      <c r="F153" s="15">
        <v>1.0</v>
      </c>
      <c r="G153" s="15">
        <v>1.0</v>
      </c>
      <c r="H153" s="28" t="s">
        <v>400</v>
      </c>
      <c r="I153" s="3" t="s">
        <v>308</v>
      </c>
      <c r="J153" s="3" t="s">
        <v>309</v>
      </c>
      <c r="K153" s="15">
        <v>0.0</v>
      </c>
    </row>
    <row r="154" ht="39.75" customHeight="1">
      <c r="A154" s="3" t="s">
        <v>471</v>
      </c>
      <c r="B154" s="27">
        <v>0.0</v>
      </c>
      <c r="C154" s="27">
        <v>0.0</v>
      </c>
      <c r="D154" s="27">
        <v>0.0</v>
      </c>
      <c r="E154" s="27">
        <v>0.0</v>
      </c>
      <c r="F154" s="15">
        <v>1.0</v>
      </c>
      <c r="G154" s="15">
        <v>1.0</v>
      </c>
      <c r="H154" s="28" t="s">
        <v>400</v>
      </c>
      <c r="I154" s="3" t="s">
        <v>308</v>
      </c>
      <c r="J154" s="3" t="s">
        <v>309</v>
      </c>
      <c r="K154" s="15">
        <v>0.0</v>
      </c>
    </row>
    <row r="155" ht="39.75" customHeight="1">
      <c r="A155" s="3" t="s">
        <v>474</v>
      </c>
      <c r="B155" s="27">
        <v>0.0</v>
      </c>
      <c r="C155" s="27">
        <v>0.0</v>
      </c>
      <c r="D155" s="27">
        <v>0.0</v>
      </c>
      <c r="E155" s="27">
        <v>0.0</v>
      </c>
      <c r="F155" s="15">
        <v>1.0</v>
      </c>
      <c r="G155" s="15">
        <v>1.0</v>
      </c>
      <c r="H155" s="28" t="s">
        <v>400</v>
      </c>
      <c r="I155" s="3" t="s">
        <v>308</v>
      </c>
      <c r="J155" s="3" t="s">
        <v>309</v>
      </c>
      <c r="K155" s="15">
        <v>0.0</v>
      </c>
    </row>
    <row r="156" ht="39.75" customHeight="1">
      <c r="A156" s="3" t="s">
        <v>479</v>
      </c>
      <c r="B156" s="27">
        <v>0.02402803651150771</v>
      </c>
      <c r="C156" s="27">
        <v>0.008874041228224234</v>
      </c>
      <c r="D156" s="27">
        <v>0.0</v>
      </c>
      <c r="E156" s="27">
        <v>0.019129220226189448</v>
      </c>
      <c r="F156" s="15">
        <v>0.07792207792207792</v>
      </c>
      <c r="G156" s="15">
        <v>1.0</v>
      </c>
      <c r="H156" s="28" t="s">
        <v>400</v>
      </c>
      <c r="I156" s="3" t="s">
        <v>308</v>
      </c>
      <c r="J156" s="3" t="s">
        <v>309</v>
      </c>
      <c r="K156" s="15">
        <v>0.008913532260664847</v>
      </c>
    </row>
    <row r="157" ht="39.75" customHeight="1">
      <c r="A157" s="3" t="s">
        <v>484</v>
      </c>
      <c r="B157" s="27">
        <v>0.0</v>
      </c>
      <c r="C157" s="27">
        <v>0.0</v>
      </c>
      <c r="D157" s="27">
        <v>0.0</v>
      </c>
      <c r="E157" s="27">
        <v>0.0025526761712721434</v>
      </c>
      <c r="F157" s="15">
        <v>1.0</v>
      </c>
      <c r="G157" s="15">
        <v>1.0</v>
      </c>
      <c r="H157" s="28" t="s">
        <v>400</v>
      </c>
      <c r="I157" s="3" t="s">
        <v>308</v>
      </c>
      <c r="J157" s="3" t="s">
        <v>309</v>
      </c>
      <c r="K157" s="15">
        <v>0.0</v>
      </c>
    </row>
    <row r="158" ht="39.75" customHeight="1">
      <c r="A158" s="3" t="s">
        <v>491</v>
      </c>
      <c r="B158" s="27">
        <v>-0.00890858894634798</v>
      </c>
      <c r="C158" s="27">
        <v>-0.0016408865668107904</v>
      </c>
      <c r="D158" s="27">
        <v>-0.0053963829247773605</v>
      </c>
      <c r="E158" s="27">
        <v>0.0</v>
      </c>
      <c r="F158" s="15">
        <v>0.43456543456543456</v>
      </c>
      <c r="G158" s="15">
        <v>1.0</v>
      </c>
      <c r="H158" s="28" t="s">
        <v>400</v>
      </c>
      <c r="I158" s="3" t="s">
        <v>308</v>
      </c>
      <c r="J158" s="3" t="s">
        <v>309</v>
      </c>
      <c r="K158" s="15">
        <v>-0.0016395410484964857</v>
      </c>
    </row>
    <row r="159" ht="39.75" customHeight="1">
      <c r="A159" s="3" t="s">
        <v>497</v>
      </c>
      <c r="B159" s="27">
        <v>-0.010271302857873298</v>
      </c>
      <c r="C159" s="27">
        <v>-0.0016780639246863785</v>
      </c>
      <c r="D159" s="27">
        <v>-0.0058478999607577435</v>
      </c>
      <c r="E159" s="27">
        <v>0.0</v>
      </c>
      <c r="F159" s="15">
        <v>0.4825174825174825</v>
      </c>
      <c r="G159" s="15">
        <v>1.0</v>
      </c>
      <c r="H159" s="28" t="s">
        <v>400</v>
      </c>
      <c r="I159" s="3" t="s">
        <v>308</v>
      </c>
      <c r="J159" s="3" t="s">
        <v>309</v>
      </c>
      <c r="K159" s="15">
        <v>-0.0016766567626313935</v>
      </c>
    </row>
    <row r="160" ht="39.75" customHeight="1">
      <c r="A160" s="3" t="s">
        <v>502</v>
      </c>
      <c r="B160" s="27">
        <v>0.0</v>
      </c>
      <c r="C160" s="27">
        <v>0.0</v>
      </c>
      <c r="D160" s="27">
        <v>0.0</v>
      </c>
      <c r="E160" s="27">
        <v>0.003862873087658754</v>
      </c>
      <c r="F160" s="15">
        <v>1.0</v>
      </c>
      <c r="G160" s="15">
        <v>1.0</v>
      </c>
      <c r="H160" s="28" t="s">
        <v>400</v>
      </c>
      <c r="I160" s="3" t="s">
        <v>308</v>
      </c>
      <c r="J160" s="3" t="s">
        <v>309</v>
      </c>
      <c r="K160" s="15">
        <v>0.0</v>
      </c>
    </row>
    <row r="161" ht="39.75" customHeight="1">
      <c r="A161" s="3" t="s">
        <v>507</v>
      </c>
      <c r="B161" s="27">
        <v>-0.002249166994064034</v>
      </c>
      <c r="C161" s="27">
        <v>-6.859208142050864E-4</v>
      </c>
      <c r="D161" s="27">
        <v>-0.008162894334414413</v>
      </c>
      <c r="E161" s="27">
        <v>0.0021601230000972238</v>
      </c>
      <c r="F161" s="15">
        <v>0.8941058941058941</v>
      </c>
      <c r="G161" s="15">
        <v>1.0</v>
      </c>
      <c r="H161" s="28" t="s">
        <v>400</v>
      </c>
      <c r="I161" s="3" t="s">
        <v>308</v>
      </c>
      <c r="J161" s="3" t="s">
        <v>309</v>
      </c>
      <c r="K161" s="15">
        <v>-6.856856243003637E-4</v>
      </c>
    </row>
    <row r="162" ht="39.75" customHeight="1">
      <c r="A162" s="3" t="s">
        <v>511</v>
      </c>
      <c r="B162" s="27">
        <v>0.0</v>
      </c>
      <c r="C162" s="27">
        <v>0.0</v>
      </c>
      <c r="D162" s="27">
        <v>0.0</v>
      </c>
      <c r="E162" s="27">
        <v>0.003170576810895262</v>
      </c>
      <c r="F162" s="15">
        <v>1.0</v>
      </c>
      <c r="G162" s="15">
        <v>1.0</v>
      </c>
      <c r="H162" s="28" t="s">
        <v>400</v>
      </c>
      <c r="I162" s="3" t="s">
        <v>308</v>
      </c>
      <c r="J162" s="3" t="s">
        <v>309</v>
      </c>
      <c r="K162" s="15">
        <v>0.0</v>
      </c>
    </row>
    <row r="163" ht="39.75" customHeight="1">
      <c r="A163" s="3" t="s">
        <v>512</v>
      </c>
      <c r="B163" s="27">
        <v>0.0</v>
      </c>
      <c r="C163" s="27">
        <v>0.0</v>
      </c>
      <c r="D163" s="27">
        <v>-0.011564930526840581</v>
      </c>
      <c r="E163" s="27">
        <v>0.003702227974115412</v>
      </c>
      <c r="F163" s="15">
        <v>1.0</v>
      </c>
      <c r="G163" s="15">
        <v>1.0</v>
      </c>
      <c r="H163" s="28" t="s">
        <v>400</v>
      </c>
      <c r="I163" s="3" t="s">
        <v>308</v>
      </c>
      <c r="J163" s="3" t="s">
        <v>309</v>
      </c>
      <c r="K163" s="15">
        <v>0.0</v>
      </c>
    </row>
    <row r="164" ht="39.75" customHeight="1">
      <c r="A164" s="3" t="s">
        <v>514</v>
      </c>
      <c r="B164" s="27">
        <v>0.0</v>
      </c>
      <c r="C164" s="27">
        <v>0.0</v>
      </c>
      <c r="D164" s="27">
        <v>0.0</v>
      </c>
      <c r="E164" s="27">
        <v>0.0</v>
      </c>
      <c r="F164" s="15">
        <v>1.0</v>
      </c>
      <c r="G164" s="15">
        <v>1.0</v>
      </c>
      <c r="H164" s="28" t="s">
        <v>400</v>
      </c>
      <c r="I164" s="3" t="s">
        <v>308</v>
      </c>
      <c r="J164" s="3" t="s">
        <v>309</v>
      </c>
      <c r="K164" s="15">
        <v>0.0</v>
      </c>
    </row>
    <row r="165" ht="39.75" customHeight="1">
      <c r="A165" s="3" t="s">
        <v>515</v>
      </c>
      <c r="B165" s="27">
        <v>0.0</v>
      </c>
      <c r="C165" s="27">
        <v>0.0</v>
      </c>
      <c r="D165" s="27">
        <v>-7.30566645271836E-4</v>
      </c>
      <c r="E165" s="27">
        <v>0.00279650449614809</v>
      </c>
      <c r="F165" s="15">
        <v>1.0</v>
      </c>
      <c r="G165" s="15">
        <v>1.0</v>
      </c>
      <c r="H165" s="28" t="s">
        <v>400</v>
      </c>
      <c r="I165" s="3" t="s">
        <v>308</v>
      </c>
      <c r="J165" s="3" t="s">
        <v>309</v>
      </c>
      <c r="K165" s="15">
        <v>0.0</v>
      </c>
    </row>
    <row r="166" ht="39.75" customHeight="1">
      <c r="A166" s="3" t="s">
        <v>516</v>
      </c>
      <c r="B166" s="27">
        <v>0.0</v>
      </c>
      <c r="C166" s="27">
        <v>0.0</v>
      </c>
      <c r="D166" s="27">
        <v>-0.008571493227307138</v>
      </c>
      <c r="E166" s="27">
        <v>0.005062815497739683</v>
      </c>
      <c r="F166" s="15">
        <v>1.0</v>
      </c>
      <c r="G166" s="15">
        <v>1.0</v>
      </c>
      <c r="H166" s="28" t="s">
        <v>400</v>
      </c>
      <c r="I166" s="3" t="s">
        <v>308</v>
      </c>
      <c r="J166" s="3" t="s">
        <v>309</v>
      </c>
      <c r="K166" s="15">
        <v>0.0</v>
      </c>
    </row>
    <row r="167" ht="39.75" customHeight="1">
      <c r="A167" s="3" t="s">
        <v>517</v>
      </c>
      <c r="B167" s="27">
        <v>0.0</v>
      </c>
      <c r="C167" s="27">
        <v>0.0</v>
      </c>
      <c r="D167" s="27">
        <v>-0.0013124128598650977</v>
      </c>
      <c r="E167" s="27">
        <v>0.0014882012606360193</v>
      </c>
      <c r="F167" s="15">
        <v>1.0</v>
      </c>
      <c r="G167" s="15">
        <v>1.0</v>
      </c>
      <c r="H167" s="28" t="s">
        <v>400</v>
      </c>
      <c r="I167" s="3" t="s">
        <v>308</v>
      </c>
      <c r="J167" s="3" t="s">
        <v>309</v>
      </c>
      <c r="K167" s="15">
        <v>0.0</v>
      </c>
    </row>
    <row r="168" ht="39.75" customHeight="1">
      <c r="A168" s="3" t="s">
        <v>518</v>
      </c>
      <c r="B168" s="27">
        <v>0.0</v>
      </c>
      <c r="C168" s="27">
        <v>0.0</v>
      </c>
      <c r="D168" s="27">
        <v>-6.916514626105007E-4</v>
      </c>
      <c r="E168" s="27">
        <v>0.003367375968190202</v>
      </c>
      <c r="F168" s="15">
        <v>1.0</v>
      </c>
      <c r="G168" s="15">
        <v>1.0</v>
      </c>
      <c r="H168" s="28" t="s">
        <v>400</v>
      </c>
      <c r="I168" s="3" t="s">
        <v>308</v>
      </c>
      <c r="J168" s="3" t="s">
        <v>309</v>
      </c>
      <c r="K168" s="15">
        <v>0.0</v>
      </c>
    </row>
    <row r="169" ht="39.75" customHeight="1">
      <c r="A169" s="3" t="s">
        <v>519</v>
      </c>
      <c r="B169" s="27">
        <v>0.0</v>
      </c>
      <c r="C169" s="27">
        <v>0.0</v>
      </c>
      <c r="D169" s="27">
        <v>0.0</v>
      </c>
      <c r="E169" s="27">
        <v>0.004161256134226144</v>
      </c>
      <c r="F169" s="15">
        <v>1.0</v>
      </c>
      <c r="G169" s="15">
        <v>1.0</v>
      </c>
      <c r="H169" s="28" t="s">
        <v>400</v>
      </c>
      <c r="I169" s="3" t="s">
        <v>308</v>
      </c>
      <c r="J169" s="3" t="s">
        <v>309</v>
      </c>
      <c r="K169" s="15">
        <v>0.0</v>
      </c>
    </row>
    <row r="170" ht="39.75" customHeight="1">
      <c r="A170" s="3" t="s">
        <v>520</v>
      </c>
      <c r="B170" s="27">
        <v>-0.004647076575570084</v>
      </c>
      <c r="C170" s="27">
        <v>-0.0019343366092095986</v>
      </c>
      <c r="D170" s="27">
        <v>-0.00946229035548373</v>
      </c>
      <c r="E170" s="27">
        <v>1.2872658758542833E-4</v>
      </c>
      <c r="F170" s="15">
        <v>0.5654345654345654</v>
      </c>
      <c r="G170" s="15">
        <v>1.0</v>
      </c>
      <c r="H170" s="28" t="s">
        <v>400</v>
      </c>
      <c r="I170" s="3" t="s">
        <v>308</v>
      </c>
      <c r="J170" s="3" t="s">
        <v>309</v>
      </c>
      <c r="K170" s="15">
        <v>-0.0019324669858386723</v>
      </c>
    </row>
    <row r="171" ht="39.75" customHeight="1">
      <c r="A171" s="3" t="s">
        <v>521</v>
      </c>
      <c r="B171" s="27">
        <v>0.0</v>
      </c>
      <c r="C171" s="27">
        <v>0.0</v>
      </c>
      <c r="D171" s="27">
        <v>0.0</v>
      </c>
      <c r="E171" s="27">
        <v>1.2114021333360066E-4</v>
      </c>
      <c r="F171" s="15">
        <v>1.0</v>
      </c>
      <c r="G171" s="15">
        <v>1.0</v>
      </c>
      <c r="H171" s="28" t="s">
        <v>400</v>
      </c>
      <c r="I171" s="3" t="s">
        <v>308</v>
      </c>
      <c r="J171" s="3" t="s">
        <v>309</v>
      </c>
      <c r="K171" s="15">
        <v>0.0</v>
      </c>
    </row>
    <row r="172" ht="39.75" customHeight="1">
      <c r="A172" s="3" t="s">
        <v>522</v>
      </c>
      <c r="B172" s="27">
        <v>0.0</v>
      </c>
      <c r="C172" s="27">
        <v>0.0</v>
      </c>
      <c r="D172" s="27">
        <v>-0.0071725092760481</v>
      </c>
      <c r="E172" s="27">
        <v>0.0023113507947403605</v>
      </c>
      <c r="F172" s="15">
        <v>1.0</v>
      </c>
      <c r="G172" s="15">
        <v>1.0</v>
      </c>
      <c r="H172" s="28" t="s">
        <v>400</v>
      </c>
      <c r="I172" s="3" t="s">
        <v>308</v>
      </c>
      <c r="J172" s="3" t="s">
        <v>309</v>
      </c>
      <c r="K172" s="15">
        <v>0.0</v>
      </c>
    </row>
    <row r="173" ht="39.75" customHeight="1">
      <c r="A173" s="3" t="s">
        <v>523</v>
      </c>
      <c r="B173" s="27">
        <v>0.0</v>
      </c>
      <c r="C173" s="27">
        <v>0.0</v>
      </c>
      <c r="D173" s="27">
        <v>0.0</v>
      </c>
      <c r="E173" s="27">
        <v>0.0016680777899560353</v>
      </c>
      <c r="F173" s="15">
        <v>1.0</v>
      </c>
      <c r="G173" s="15">
        <v>1.0</v>
      </c>
      <c r="H173" s="28" t="s">
        <v>400</v>
      </c>
      <c r="I173" s="3" t="s">
        <v>308</v>
      </c>
      <c r="J173" s="3" t="s">
        <v>309</v>
      </c>
      <c r="K173" s="15">
        <v>0.0</v>
      </c>
    </row>
    <row r="174" ht="39.75" customHeight="1">
      <c r="A174" s="3" t="s">
        <v>524</v>
      </c>
      <c r="B174" s="27">
        <v>0.0</v>
      </c>
      <c r="C174" s="27">
        <v>0.0</v>
      </c>
      <c r="D174" s="27">
        <v>0.0</v>
      </c>
      <c r="E174" s="27">
        <v>0.0</v>
      </c>
      <c r="F174" s="15">
        <v>1.0</v>
      </c>
      <c r="G174" s="15">
        <v>1.0</v>
      </c>
      <c r="H174" s="28" t="s">
        <v>400</v>
      </c>
      <c r="I174" s="3" t="s">
        <v>308</v>
      </c>
      <c r="J174" s="3" t="s">
        <v>309</v>
      </c>
      <c r="K174" s="15">
        <v>0.0</v>
      </c>
    </row>
    <row r="175" ht="39.75" customHeight="1">
      <c r="A175" s="3" t="s">
        <v>525</v>
      </c>
      <c r="B175" s="27">
        <v>-0.006658734966827966</v>
      </c>
      <c r="C175" s="27">
        <v>-8.209191285843475E-4</v>
      </c>
      <c r="D175" s="27">
        <v>-0.004991203276759361</v>
      </c>
      <c r="E175" s="27">
        <v>0.0</v>
      </c>
      <c r="F175" s="15">
        <v>0.7902097902097902</v>
      </c>
      <c r="G175" s="15">
        <v>1.0</v>
      </c>
      <c r="H175" s="28" t="s">
        <v>400</v>
      </c>
      <c r="I175" s="3" t="s">
        <v>308</v>
      </c>
      <c r="J175" s="3" t="s">
        <v>309</v>
      </c>
      <c r="K175" s="15">
        <v>-8.205822666616139E-4</v>
      </c>
    </row>
    <row r="176" ht="39.75" customHeight="1">
      <c r="A176" s="3" t="s">
        <v>526</v>
      </c>
      <c r="B176" s="27">
        <v>0.0</v>
      </c>
      <c r="C176" s="27">
        <v>0.0</v>
      </c>
      <c r="D176" s="27">
        <v>0.0</v>
      </c>
      <c r="E176" s="27">
        <v>0.0</v>
      </c>
      <c r="F176" s="15">
        <v>1.0</v>
      </c>
      <c r="G176" s="15">
        <v>1.0</v>
      </c>
      <c r="H176" s="28" t="s">
        <v>400</v>
      </c>
      <c r="I176" s="3" t="s">
        <v>308</v>
      </c>
      <c r="J176" s="3" t="s">
        <v>309</v>
      </c>
      <c r="K176" s="15">
        <v>0.0</v>
      </c>
    </row>
    <row r="177" ht="39.75" customHeight="1">
      <c r="A177" s="3" t="s">
        <v>527</v>
      </c>
      <c r="B177" s="27">
        <v>0.0</v>
      </c>
      <c r="C177" s="27">
        <v>0.0</v>
      </c>
      <c r="D177" s="27">
        <v>0.0</v>
      </c>
      <c r="E177" s="27">
        <v>0.0</v>
      </c>
      <c r="F177" s="15">
        <v>1.0</v>
      </c>
      <c r="G177" s="15">
        <v>1.0</v>
      </c>
      <c r="H177" s="28" t="s">
        <v>400</v>
      </c>
      <c r="I177" s="3" t="s">
        <v>308</v>
      </c>
      <c r="J177" s="3" t="s">
        <v>309</v>
      </c>
      <c r="K177" s="15">
        <v>0.0</v>
      </c>
    </row>
    <row r="178" ht="39.75" customHeight="1">
      <c r="A178" s="3" t="s">
        <v>528</v>
      </c>
      <c r="B178" s="27">
        <v>0.0</v>
      </c>
      <c r="C178" s="27">
        <v>0.0</v>
      </c>
      <c r="D178" s="27">
        <v>-9.720978886959451E-4</v>
      </c>
      <c r="E178" s="27">
        <v>4.448872457966031E-4</v>
      </c>
      <c r="F178" s="15">
        <v>1.0</v>
      </c>
      <c r="G178" s="15">
        <v>1.0</v>
      </c>
      <c r="H178" s="28" t="s">
        <v>400</v>
      </c>
      <c r="I178" s="3" t="s">
        <v>308</v>
      </c>
      <c r="J178" s="3" t="s">
        <v>309</v>
      </c>
      <c r="K178" s="15">
        <v>0.0</v>
      </c>
    </row>
    <row r="179" ht="39.75" customHeight="1">
      <c r="A179" s="3" t="s">
        <v>529</v>
      </c>
      <c r="B179" s="27">
        <v>0.0</v>
      </c>
      <c r="C179" s="27">
        <v>0.0</v>
      </c>
      <c r="D179" s="27">
        <v>0.0</v>
      </c>
      <c r="E179" s="27">
        <v>0.0</v>
      </c>
      <c r="F179" s="15">
        <v>1.0</v>
      </c>
      <c r="G179" s="15">
        <v>1.0</v>
      </c>
      <c r="H179" s="28" t="s">
        <v>400</v>
      </c>
      <c r="I179" s="3" t="s">
        <v>308</v>
      </c>
      <c r="J179" s="3" t="s">
        <v>309</v>
      </c>
      <c r="K179" s="15">
        <v>0.0</v>
      </c>
    </row>
    <row r="180" ht="39.75" customHeight="1">
      <c r="A180" s="3" t="s">
        <v>531</v>
      </c>
      <c r="B180" s="27">
        <v>0.0</v>
      </c>
      <c r="C180" s="27">
        <v>0.0</v>
      </c>
      <c r="D180" s="27">
        <v>0.0</v>
      </c>
      <c r="E180" s="27">
        <v>0.0013722980958207366</v>
      </c>
      <c r="F180" s="15">
        <v>1.0</v>
      </c>
      <c r="G180" s="15">
        <v>1.0</v>
      </c>
      <c r="H180" s="28" t="s">
        <v>400</v>
      </c>
      <c r="I180" s="3" t="s">
        <v>308</v>
      </c>
      <c r="J180" s="3" t="s">
        <v>309</v>
      </c>
      <c r="K180" s="15">
        <v>0.0</v>
      </c>
    </row>
    <row r="181" ht="39.75" customHeight="1">
      <c r="A181" s="3" t="s">
        <v>534</v>
      </c>
      <c r="B181" s="27">
        <v>0.0</v>
      </c>
      <c r="C181" s="27">
        <v>0.0</v>
      </c>
      <c r="D181" s="27">
        <v>-0.003739414784370859</v>
      </c>
      <c r="E181" s="27">
        <v>0.0014965938587709457</v>
      </c>
      <c r="F181" s="15">
        <v>1.0</v>
      </c>
      <c r="G181" s="15">
        <v>1.0</v>
      </c>
      <c r="H181" s="28" t="s">
        <v>400</v>
      </c>
      <c r="I181" s="3" t="s">
        <v>308</v>
      </c>
      <c r="J181" s="3" t="s">
        <v>309</v>
      </c>
      <c r="K181" s="15">
        <v>0.0</v>
      </c>
    </row>
    <row r="182" ht="39.75" customHeight="1">
      <c r="A182" s="3" t="s">
        <v>536</v>
      </c>
      <c r="B182" s="27">
        <v>0.0</v>
      </c>
      <c r="C182" s="27">
        <v>0.0</v>
      </c>
      <c r="D182" s="27">
        <v>0.0</v>
      </c>
      <c r="E182" s="27">
        <v>0.0</v>
      </c>
      <c r="F182" s="15">
        <v>1.0</v>
      </c>
      <c r="G182" s="15">
        <v>1.0</v>
      </c>
      <c r="H182" s="28" t="s">
        <v>400</v>
      </c>
      <c r="I182" s="3" t="s">
        <v>308</v>
      </c>
      <c r="J182" s="3" t="s">
        <v>309</v>
      </c>
      <c r="K182" s="15">
        <v>0.0</v>
      </c>
    </row>
    <row r="183" ht="39.75" customHeight="1">
      <c r="A183" s="3" t="s">
        <v>540</v>
      </c>
      <c r="B183" s="27">
        <v>-0.018314754948162492</v>
      </c>
      <c r="C183" s="27">
        <v>-7.578688372910058E-4</v>
      </c>
      <c r="D183" s="27">
        <v>-0.0066267986204762205</v>
      </c>
      <c r="E183" s="27">
        <v>0.0</v>
      </c>
      <c r="F183" s="15">
        <v>0.7272727272727273</v>
      </c>
      <c r="G183" s="15">
        <v>1.0</v>
      </c>
      <c r="H183" s="28" t="s">
        <v>400</v>
      </c>
      <c r="I183" s="3" t="s">
        <v>308</v>
      </c>
      <c r="J183" s="3" t="s">
        <v>309</v>
      </c>
      <c r="K183" s="15">
        <v>-7.57581727238905E-4</v>
      </c>
    </row>
    <row r="184" ht="39.75" customHeight="1">
      <c r="A184" s="3" t="s">
        <v>549</v>
      </c>
      <c r="B184" s="27">
        <v>0.0771001661432295</v>
      </c>
      <c r="C184" s="27">
        <v>0.014033175430436397</v>
      </c>
      <c r="D184" s="27">
        <v>0.007293346431262939</v>
      </c>
      <c r="E184" s="27">
        <v>0.018336686891312032</v>
      </c>
      <c r="F184" s="15">
        <v>9.99000999000999E-4</v>
      </c>
      <c r="G184" s="15">
        <v>0.2137862137862138</v>
      </c>
      <c r="H184" s="28" t="s">
        <v>400</v>
      </c>
      <c r="I184" s="3" t="s">
        <v>308</v>
      </c>
      <c r="J184" s="3" t="s">
        <v>309</v>
      </c>
      <c r="K184" s="15">
        <v>0.014132102649441728</v>
      </c>
    </row>
    <row r="185" ht="39.75" customHeight="1">
      <c r="A185" s="3" t="s">
        <v>558</v>
      </c>
      <c r="B185" s="27">
        <v>0.0</v>
      </c>
      <c r="C185" s="27">
        <v>0.0</v>
      </c>
      <c r="D185" s="27">
        <v>0.0</v>
      </c>
      <c r="E185" s="27">
        <v>0.0</v>
      </c>
      <c r="F185" s="15">
        <v>1.0</v>
      </c>
      <c r="G185" s="15">
        <v>1.0</v>
      </c>
      <c r="H185" s="28" t="s">
        <v>400</v>
      </c>
      <c r="I185" s="3" t="s">
        <v>308</v>
      </c>
      <c r="J185" s="3" t="s">
        <v>309</v>
      </c>
      <c r="K185" s="15">
        <v>0.0</v>
      </c>
    </row>
    <row r="186" ht="39.75" customHeight="1">
      <c r="A186" s="3" t="s">
        <v>565</v>
      </c>
      <c r="B186" s="27">
        <v>0.0</v>
      </c>
      <c r="C186" s="27">
        <v>0.0</v>
      </c>
      <c r="D186" s="27">
        <v>-6.422438797255371E-4</v>
      </c>
      <c r="E186" s="27">
        <v>0.0022804001037940516</v>
      </c>
      <c r="F186" s="15">
        <v>1.0</v>
      </c>
      <c r="G186" s="15">
        <v>1.0</v>
      </c>
      <c r="H186" s="28" t="s">
        <v>400</v>
      </c>
      <c r="I186" s="3" t="s">
        <v>308</v>
      </c>
      <c r="J186" s="3" t="s">
        <v>309</v>
      </c>
      <c r="K186" s="15">
        <v>0.0</v>
      </c>
    </row>
    <row r="187" ht="39.75" customHeight="1">
      <c r="A187" s="3" t="s">
        <v>573</v>
      </c>
      <c r="B187" s="27">
        <v>-2.7490882806442706E-4</v>
      </c>
      <c r="C187" s="27">
        <v>-9.841562780051455E-5</v>
      </c>
      <c r="D187" s="27">
        <v>-0.007591721419100293</v>
      </c>
      <c r="E187" s="27">
        <v>4.005044763000427E-4</v>
      </c>
      <c r="F187" s="15">
        <v>0.981018981018981</v>
      </c>
      <c r="G187" s="15">
        <v>1.0</v>
      </c>
      <c r="H187" s="28" t="s">
        <v>400</v>
      </c>
      <c r="I187" s="3" t="s">
        <v>308</v>
      </c>
      <c r="J187" s="3" t="s">
        <v>309</v>
      </c>
      <c r="K187" s="15">
        <v>-9.84107851414826E-5</v>
      </c>
    </row>
    <row r="188" ht="39.75" customHeight="1">
      <c r="A188" s="3" t="s">
        <v>583</v>
      </c>
      <c r="B188" s="27">
        <v>0.0</v>
      </c>
      <c r="C188" s="27">
        <v>0.0</v>
      </c>
      <c r="D188" s="27">
        <v>0.0</v>
      </c>
      <c r="E188" s="27">
        <v>0.0</v>
      </c>
      <c r="F188" s="15">
        <v>1.0</v>
      </c>
      <c r="G188" s="15">
        <v>1.0</v>
      </c>
      <c r="H188" s="28" t="s">
        <v>400</v>
      </c>
      <c r="I188" s="3" t="s">
        <v>308</v>
      </c>
      <c r="J188" s="3" t="s">
        <v>309</v>
      </c>
      <c r="K188" s="15">
        <v>0.0</v>
      </c>
    </row>
    <row r="189" ht="39.75" customHeight="1">
      <c r="A189" s="3" t="s">
        <v>589</v>
      </c>
      <c r="B189" s="27">
        <v>0.017129889971900472</v>
      </c>
      <c r="C189" s="27">
        <v>0.006089108305560861</v>
      </c>
      <c r="D189" s="27">
        <v>0.0</v>
      </c>
      <c r="E189" s="27">
        <v>0.011251144634406681</v>
      </c>
      <c r="F189" s="15">
        <v>0.15284715284715283</v>
      </c>
      <c r="G189" s="15">
        <v>1.0</v>
      </c>
      <c r="H189" s="28" t="s">
        <v>400</v>
      </c>
      <c r="I189" s="3" t="s">
        <v>308</v>
      </c>
      <c r="J189" s="3" t="s">
        <v>309</v>
      </c>
      <c r="K189" s="15">
        <v>0.006107684610777481</v>
      </c>
    </row>
    <row r="190" ht="39.75" customHeight="1">
      <c r="A190" s="3" t="s">
        <v>599</v>
      </c>
      <c r="B190" s="27">
        <v>0.0</v>
      </c>
      <c r="C190" s="27">
        <v>0.0</v>
      </c>
      <c r="D190" s="27">
        <v>-0.006610503347482519</v>
      </c>
      <c r="E190" s="27">
        <v>0.001574390736737751</v>
      </c>
      <c r="F190" s="15">
        <v>1.0</v>
      </c>
      <c r="G190" s="15">
        <v>1.0</v>
      </c>
      <c r="H190" s="28" t="s">
        <v>400</v>
      </c>
      <c r="I190" s="3" t="s">
        <v>308</v>
      </c>
      <c r="J190" s="3" t="s">
        <v>309</v>
      </c>
      <c r="K190" s="15">
        <v>0.0</v>
      </c>
    </row>
    <row r="191" ht="39.75" customHeight="1">
      <c r="A191" s="3" t="s">
        <v>608</v>
      </c>
      <c r="B191" s="27">
        <v>0.0</v>
      </c>
      <c r="C191" s="27">
        <v>0.0</v>
      </c>
      <c r="D191" s="27">
        <v>0.0</v>
      </c>
      <c r="E191" s="27">
        <v>0.0</v>
      </c>
      <c r="F191" s="15">
        <v>1.0</v>
      </c>
      <c r="G191" s="15">
        <v>1.0</v>
      </c>
      <c r="H191" s="28" t="s">
        <v>400</v>
      </c>
      <c r="I191" s="3" t="s">
        <v>308</v>
      </c>
      <c r="J191" s="3" t="s">
        <v>309</v>
      </c>
      <c r="K191" s="15">
        <v>0.0</v>
      </c>
    </row>
    <row r="192" ht="39.75" customHeight="1">
      <c r="A192" s="3" t="s">
        <v>614</v>
      </c>
      <c r="B192" s="27">
        <v>0.005058130923176057</v>
      </c>
      <c r="C192" s="27">
        <v>6.56748096222165E-4</v>
      </c>
      <c r="D192" s="27">
        <v>0.0</v>
      </c>
      <c r="E192" s="27">
        <v>0.006938549537420571</v>
      </c>
      <c r="F192" s="15">
        <v>0.8411588411588412</v>
      </c>
      <c r="G192" s="15">
        <v>1.0</v>
      </c>
      <c r="H192" s="28" t="s">
        <v>400</v>
      </c>
      <c r="I192" s="3" t="s">
        <v>308</v>
      </c>
      <c r="J192" s="3" t="s">
        <v>309</v>
      </c>
      <c r="K192" s="15">
        <v>6.569638024720825E-4</v>
      </c>
    </row>
    <row r="193" ht="39.75" customHeight="1">
      <c r="A193" s="3" t="s">
        <v>621</v>
      </c>
      <c r="B193" s="27">
        <v>0.0</v>
      </c>
      <c r="C193" s="27">
        <v>0.0</v>
      </c>
      <c r="D193" s="27">
        <v>-0.010502965821660014</v>
      </c>
      <c r="E193" s="27">
        <v>0.0023448695186653523</v>
      </c>
      <c r="F193" s="15">
        <v>1.0</v>
      </c>
      <c r="G193" s="15">
        <v>1.0</v>
      </c>
      <c r="H193" s="28" t="s">
        <v>400</v>
      </c>
      <c r="I193" s="3" t="s">
        <v>308</v>
      </c>
      <c r="J193" s="3" t="s">
        <v>309</v>
      </c>
      <c r="K193" s="15">
        <v>0.0</v>
      </c>
    </row>
    <row r="194" ht="39.75" customHeight="1">
      <c r="A194" s="3" t="s">
        <v>629</v>
      </c>
      <c r="B194" s="27">
        <v>-0.023552076030303265</v>
      </c>
      <c r="C194" s="27">
        <v>-0.008331826923257466</v>
      </c>
      <c r="D194" s="27">
        <v>-0.01820124300914681</v>
      </c>
      <c r="E194" s="27">
        <v>0.0</v>
      </c>
      <c r="F194" s="15">
        <v>0.13186813186813187</v>
      </c>
      <c r="G194" s="15">
        <v>1.0</v>
      </c>
      <c r="H194" s="28" t="s">
        <v>400</v>
      </c>
      <c r="I194" s="3" t="s">
        <v>308</v>
      </c>
      <c r="J194" s="3" t="s">
        <v>309</v>
      </c>
      <c r="K194" s="15">
        <v>-0.00829721345117934</v>
      </c>
    </row>
    <row r="195" ht="39.75" customHeight="1">
      <c r="A195" s="3" t="s">
        <v>636</v>
      </c>
      <c r="B195" s="27">
        <v>0.0</v>
      </c>
      <c r="C195" s="27">
        <v>0.0</v>
      </c>
      <c r="D195" s="27">
        <v>-5.646288841628693E-4</v>
      </c>
      <c r="E195" s="27">
        <v>0.0018500688794035566</v>
      </c>
      <c r="F195" s="15">
        <v>1.0</v>
      </c>
      <c r="G195" s="15">
        <v>1.0</v>
      </c>
      <c r="H195" s="28" t="s">
        <v>400</v>
      </c>
      <c r="I195" s="3" t="s">
        <v>308</v>
      </c>
      <c r="J195" s="3" t="s">
        <v>309</v>
      </c>
      <c r="K195" s="15">
        <v>0.0</v>
      </c>
    </row>
    <row r="196" ht="39.75" customHeight="1">
      <c r="A196" s="3" t="s">
        <v>639</v>
      </c>
      <c r="B196" s="27">
        <v>0.0</v>
      </c>
      <c r="C196" s="27">
        <v>0.0</v>
      </c>
      <c r="D196" s="27">
        <v>-0.002955421735938051</v>
      </c>
      <c r="E196" s="27">
        <v>0.0027258038947614483</v>
      </c>
      <c r="F196" s="15">
        <v>1.0</v>
      </c>
      <c r="G196" s="15">
        <v>1.0</v>
      </c>
      <c r="H196" s="28" t="s">
        <v>400</v>
      </c>
      <c r="I196" s="3" t="s">
        <v>308</v>
      </c>
      <c r="J196" s="3" t="s">
        <v>309</v>
      </c>
      <c r="K196" s="15">
        <v>0.0</v>
      </c>
    </row>
    <row r="197" ht="39.75" customHeight="1">
      <c r="A197" s="3" t="s">
        <v>641</v>
      </c>
      <c r="B197" s="27">
        <v>0.0</v>
      </c>
      <c r="C197" s="27">
        <v>0.0</v>
      </c>
      <c r="D197" s="27">
        <v>0.0</v>
      </c>
      <c r="E197" s="27">
        <v>0.0</v>
      </c>
      <c r="F197" s="15">
        <v>1.0</v>
      </c>
      <c r="G197" s="15">
        <v>1.0</v>
      </c>
      <c r="H197" s="28" t="s">
        <v>400</v>
      </c>
      <c r="I197" s="3" t="s">
        <v>308</v>
      </c>
      <c r="J197" s="3" t="s">
        <v>309</v>
      </c>
      <c r="K197" s="15">
        <v>0.0</v>
      </c>
    </row>
    <row r="198" ht="39.75" customHeight="1">
      <c r="A198" s="3" t="s">
        <v>643</v>
      </c>
      <c r="B198" s="27">
        <v>0.0</v>
      </c>
      <c r="C198" s="27">
        <v>0.0</v>
      </c>
      <c r="D198" s="27">
        <v>-0.0044251600433425345</v>
      </c>
      <c r="E198" s="27">
        <v>9.699570987518917E-4</v>
      </c>
      <c r="F198" s="15">
        <v>1.0</v>
      </c>
      <c r="G198" s="15">
        <v>1.0</v>
      </c>
      <c r="H198" s="28" t="s">
        <v>400</v>
      </c>
      <c r="I198" s="3" t="s">
        <v>308</v>
      </c>
      <c r="J198" s="3" t="s">
        <v>309</v>
      </c>
      <c r="K198" s="15">
        <v>0.0</v>
      </c>
    </row>
    <row r="199" ht="39.75" customHeight="1">
      <c r="A199" s="3" t="s">
        <v>645</v>
      </c>
      <c r="B199" s="27">
        <v>0.0</v>
      </c>
      <c r="C199" s="27">
        <v>0.0</v>
      </c>
      <c r="D199" s="27">
        <v>-9.583984507711085E-4</v>
      </c>
      <c r="E199" s="27">
        <v>0.0</v>
      </c>
      <c r="F199" s="15">
        <v>1.0</v>
      </c>
      <c r="G199" s="15">
        <v>1.0</v>
      </c>
      <c r="H199" s="28" t="s">
        <v>400</v>
      </c>
      <c r="I199" s="3" t="s">
        <v>308</v>
      </c>
      <c r="J199" s="3" t="s">
        <v>309</v>
      </c>
      <c r="K199" s="15">
        <v>0.0</v>
      </c>
    </row>
    <row r="200" ht="39.75" customHeight="1">
      <c r="A200" s="3" t="s">
        <v>646</v>
      </c>
      <c r="B200" s="27">
        <v>0.0</v>
      </c>
      <c r="C200" s="27">
        <v>0.0</v>
      </c>
      <c r="D200" s="27">
        <v>0.0</v>
      </c>
      <c r="E200" s="27">
        <v>0.0</v>
      </c>
      <c r="F200" s="15">
        <v>1.0</v>
      </c>
      <c r="G200" s="15">
        <v>1.0</v>
      </c>
      <c r="H200" s="28" t="s">
        <v>400</v>
      </c>
      <c r="I200" s="3" t="s">
        <v>308</v>
      </c>
      <c r="J200" s="3" t="s">
        <v>309</v>
      </c>
      <c r="K200" s="15">
        <v>0.0</v>
      </c>
    </row>
    <row r="201" ht="39.75" customHeight="1">
      <c r="A201" s="3" t="s">
        <v>647</v>
      </c>
      <c r="B201" s="27">
        <v>0.007257638318591276</v>
      </c>
      <c r="C201" s="27">
        <v>0.0013677945754106203</v>
      </c>
      <c r="D201" s="27">
        <v>0.0</v>
      </c>
      <c r="E201" s="27">
        <v>0.005304849858790936</v>
      </c>
      <c r="F201" s="15">
        <v>0.7172827172827173</v>
      </c>
      <c r="G201" s="15">
        <v>1.0</v>
      </c>
      <c r="H201" s="28" t="s">
        <v>400</v>
      </c>
      <c r="I201" s="3" t="s">
        <v>308</v>
      </c>
      <c r="J201" s="3" t="s">
        <v>309</v>
      </c>
      <c r="K201" s="15">
        <v>0.0013687304330492428</v>
      </c>
    </row>
    <row r="202" ht="39.75" customHeight="1">
      <c r="A202" s="3" t="s">
        <v>648</v>
      </c>
      <c r="B202" s="27">
        <v>0.0</v>
      </c>
      <c r="C202" s="27">
        <v>0.0</v>
      </c>
      <c r="D202" s="27">
        <v>-0.006218629657030224</v>
      </c>
      <c r="E202" s="27">
        <v>0.001504951769824834</v>
      </c>
      <c r="F202" s="15">
        <v>1.0</v>
      </c>
      <c r="G202" s="15">
        <v>1.0</v>
      </c>
      <c r="H202" s="28" t="s">
        <v>400</v>
      </c>
      <c r="I202" s="3" t="s">
        <v>308</v>
      </c>
      <c r="J202" s="3" t="s">
        <v>309</v>
      </c>
      <c r="K202" s="15">
        <v>0.0</v>
      </c>
    </row>
    <row r="203" ht="39.75" customHeight="1">
      <c r="A203" s="3" t="s">
        <v>649</v>
      </c>
      <c r="B203" s="27">
        <v>0.0</v>
      </c>
      <c r="C203" s="27">
        <v>0.0</v>
      </c>
      <c r="D203" s="27">
        <v>0.0</v>
      </c>
      <c r="E203" s="27">
        <v>0.0</v>
      </c>
      <c r="F203" s="15">
        <v>1.0</v>
      </c>
      <c r="G203" s="15">
        <v>1.0</v>
      </c>
      <c r="H203" s="28" t="s">
        <v>400</v>
      </c>
      <c r="I203" s="3" t="s">
        <v>308</v>
      </c>
      <c r="J203" s="3" t="s">
        <v>309</v>
      </c>
      <c r="K203" s="15">
        <v>0.0</v>
      </c>
    </row>
    <row r="204" ht="39.75" customHeight="1">
      <c r="A204" s="3" t="s">
        <v>650</v>
      </c>
      <c r="B204" s="27">
        <v>0.0</v>
      </c>
      <c r="C204" s="27">
        <v>0.0</v>
      </c>
      <c r="D204" s="27">
        <v>0.0</v>
      </c>
      <c r="E204" s="27">
        <v>0.005208744643368738</v>
      </c>
      <c r="F204" s="15">
        <v>1.0</v>
      </c>
      <c r="G204" s="15">
        <v>1.0</v>
      </c>
      <c r="H204" s="28" t="s">
        <v>400</v>
      </c>
      <c r="I204" s="3" t="s">
        <v>308</v>
      </c>
      <c r="J204" s="3" t="s">
        <v>309</v>
      </c>
      <c r="K204" s="15">
        <v>0.0</v>
      </c>
    </row>
    <row r="205" ht="39.75" customHeight="1">
      <c r="A205" s="3" t="s">
        <v>651</v>
      </c>
      <c r="B205" s="27">
        <v>0.0</v>
      </c>
      <c r="C205" s="27">
        <v>0.0</v>
      </c>
      <c r="D205" s="27">
        <v>0.0</v>
      </c>
      <c r="E205" s="27">
        <v>0.0</v>
      </c>
      <c r="F205" s="15">
        <v>1.0</v>
      </c>
      <c r="G205" s="15">
        <v>1.0</v>
      </c>
      <c r="H205" s="28" t="s">
        <v>400</v>
      </c>
      <c r="I205" s="3" t="s">
        <v>308</v>
      </c>
      <c r="J205" s="3" t="s">
        <v>309</v>
      </c>
      <c r="K205" s="15">
        <v>0.0</v>
      </c>
    </row>
    <row r="206" ht="39.75" customHeight="1">
      <c r="A206" s="3" t="s">
        <v>652</v>
      </c>
      <c r="B206" s="27">
        <v>-0.008179786142658659</v>
      </c>
      <c r="C206" s="27">
        <v>-0.0024103089628333602</v>
      </c>
      <c r="D206" s="27">
        <v>-0.010549332803669417</v>
      </c>
      <c r="E206" s="27">
        <v>0.0</v>
      </c>
      <c r="F206" s="15">
        <v>0.4805194805194805</v>
      </c>
      <c r="G206" s="15">
        <v>1.0</v>
      </c>
      <c r="H206" s="28" t="s">
        <v>400</v>
      </c>
      <c r="I206" s="3" t="s">
        <v>308</v>
      </c>
      <c r="J206" s="3" t="s">
        <v>309</v>
      </c>
      <c r="K206" s="15">
        <v>-0.0024074065005971</v>
      </c>
    </row>
    <row r="207" ht="39.75" customHeight="1">
      <c r="A207" s="3" t="s">
        <v>653</v>
      </c>
      <c r="B207" s="27">
        <v>0.0</v>
      </c>
      <c r="C207" s="27">
        <v>0.0</v>
      </c>
      <c r="D207" s="27">
        <v>0.0</v>
      </c>
      <c r="E207" s="27">
        <v>0.0</v>
      </c>
      <c r="F207" s="15">
        <v>1.0</v>
      </c>
      <c r="G207" s="15">
        <v>1.0</v>
      </c>
      <c r="H207" s="28" t="s">
        <v>400</v>
      </c>
      <c r="I207" s="3" t="s">
        <v>308</v>
      </c>
      <c r="J207" s="3" t="s">
        <v>309</v>
      </c>
      <c r="K207" s="15">
        <v>0.0</v>
      </c>
    </row>
    <row r="208" ht="39.75" customHeight="1">
      <c r="A208" s="3" t="s">
        <v>654</v>
      </c>
      <c r="B208" s="27">
        <v>0.022855073537541837</v>
      </c>
      <c r="C208" s="27">
        <v>0.003109627907324757</v>
      </c>
      <c r="D208" s="27">
        <v>0.0</v>
      </c>
      <c r="E208" s="27">
        <v>0.008783646668883469</v>
      </c>
      <c r="F208" s="15">
        <v>0.47152847152847155</v>
      </c>
      <c r="G208" s="15">
        <v>1.0</v>
      </c>
      <c r="H208" s="28" t="s">
        <v>400</v>
      </c>
      <c r="I208" s="3" t="s">
        <v>308</v>
      </c>
      <c r="J208" s="3" t="s">
        <v>309</v>
      </c>
      <c r="K208" s="15">
        <v>0.003114467815656809</v>
      </c>
    </row>
    <row r="209" ht="39.75" customHeight="1">
      <c r="A209" s="3" t="s">
        <v>655</v>
      </c>
      <c r="B209" s="27">
        <v>-0.003052106612213792</v>
      </c>
      <c r="C209" s="27">
        <v>-0.0014573168132601807</v>
      </c>
      <c r="D209" s="27">
        <v>-0.011660214115666206</v>
      </c>
      <c r="E209" s="27">
        <v>0.002033150979127038</v>
      </c>
      <c r="F209" s="15">
        <v>0.8211788211788211</v>
      </c>
      <c r="G209" s="15">
        <v>1.0</v>
      </c>
      <c r="H209" s="28" t="s">
        <v>400</v>
      </c>
      <c r="I209" s="3" t="s">
        <v>308</v>
      </c>
      <c r="J209" s="3" t="s">
        <v>309</v>
      </c>
      <c r="K209" s="15">
        <v>-0.0014562554427600416</v>
      </c>
    </row>
    <row r="210" ht="39.75" customHeight="1">
      <c r="A210" s="3" t="s">
        <v>656</v>
      </c>
      <c r="B210" s="27">
        <v>0.027662858330270053</v>
      </c>
      <c r="C210" s="27">
        <v>0.009641786554078867</v>
      </c>
      <c r="D210" s="27">
        <v>0.0</v>
      </c>
      <c r="E210" s="27">
        <v>0.018591269344067598</v>
      </c>
      <c r="F210" s="15">
        <v>0.08191808191808192</v>
      </c>
      <c r="G210" s="15">
        <v>1.0</v>
      </c>
      <c r="H210" s="28" t="s">
        <v>400</v>
      </c>
      <c r="I210" s="3" t="s">
        <v>308</v>
      </c>
      <c r="J210" s="3" t="s">
        <v>309</v>
      </c>
      <c r="K210" s="15">
        <v>0.009688418328765944</v>
      </c>
    </row>
    <row r="211" ht="39.75" customHeight="1">
      <c r="A211" s="3" t="s">
        <v>657</v>
      </c>
      <c r="B211" s="27">
        <v>0.0</v>
      </c>
      <c r="C211" s="27">
        <v>0.0</v>
      </c>
      <c r="D211" s="27">
        <v>-0.005524804954765954</v>
      </c>
      <c r="E211" s="27">
        <v>8.669624740387389E-4</v>
      </c>
      <c r="F211" s="15">
        <v>1.0</v>
      </c>
      <c r="G211" s="15">
        <v>1.0</v>
      </c>
      <c r="H211" s="28" t="s">
        <v>400</v>
      </c>
      <c r="I211" s="3" t="s">
        <v>308</v>
      </c>
      <c r="J211" s="3" t="s">
        <v>309</v>
      </c>
      <c r="K211" s="15">
        <v>0.0</v>
      </c>
    </row>
    <row r="212" ht="39.75" customHeight="1">
      <c r="A212" s="3" t="s">
        <v>658</v>
      </c>
      <c r="B212" s="27">
        <v>-0.013376520726801336</v>
      </c>
      <c r="C212" s="27">
        <v>-0.0014045297615461784</v>
      </c>
      <c r="D212" s="27">
        <v>-0.00494517850730761</v>
      </c>
      <c r="E212" s="27">
        <v>0.0</v>
      </c>
      <c r="F212" s="15">
        <v>0.5464535464535465</v>
      </c>
      <c r="G212" s="15">
        <v>1.0</v>
      </c>
      <c r="H212" s="28" t="s">
        <v>400</v>
      </c>
      <c r="I212" s="3" t="s">
        <v>308</v>
      </c>
      <c r="J212" s="3" t="s">
        <v>309</v>
      </c>
      <c r="K212" s="15">
        <v>-0.0014035438712454193</v>
      </c>
    </row>
    <row r="213" ht="39.75" customHeight="1">
      <c r="A213" s="3" t="s">
        <v>659</v>
      </c>
      <c r="B213" s="27">
        <v>-0.001833403987568913</v>
      </c>
      <c r="C213" s="27">
        <v>-8.508346289299797E-4</v>
      </c>
      <c r="D213" s="27">
        <v>-0.00871902215224218</v>
      </c>
      <c r="E213" s="27">
        <v>0.0</v>
      </c>
      <c r="F213" s="15">
        <v>0.8161838161838162</v>
      </c>
      <c r="G213" s="15">
        <v>1.0</v>
      </c>
      <c r="H213" s="28" t="s">
        <v>400</v>
      </c>
      <c r="I213" s="3" t="s">
        <v>308</v>
      </c>
      <c r="J213" s="3" t="s">
        <v>309</v>
      </c>
      <c r="K213" s="15">
        <v>-8.504727717812268E-4</v>
      </c>
    </row>
    <row r="214" ht="39.75" customHeight="1">
      <c r="A214" s="3" t="s">
        <v>660</v>
      </c>
      <c r="B214" s="27">
        <v>0.0</v>
      </c>
      <c r="C214" s="27">
        <v>0.0</v>
      </c>
      <c r="D214" s="27">
        <v>-0.0026143242302484808</v>
      </c>
      <c r="E214" s="27">
        <v>0.005824079734601658</v>
      </c>
      <c r="F214" s="15">
        <v>1.0</v>
      </c>
      <c r="G214" s="15">
        <v>1.0</v>
      </c>
      <c r="H214" s="28" t="s">
        <v>400</v>
      </c>
      <c r="I214" s="3" t="s">
        <v>308</v>
      </c>
      <c r="J214" s="3" t="s">
        <v>309</v>
      </c>
      <c r="K214" s="15">
        <v>0.0</v>
      </c>
    </row>
    <row r="215" ht="39.75" customHeight="1">
      <c r="A215" s="3" t="s">
        <v>661</v>
      </c>
      <c r="B215" s="27">
        <v>0.03041393186952256</v>
      </c>
      <c r="C215" s="27">
        <v>0.00866867949815299</v>
      </c>
      <c r="D215" s="27">
        <v>0.0016811482288005128</v>
      </c>
      <c r="E215" s="27">
        <v>0.01455652693779656</v>
      </c>
      <c r="F215" s="15">
        <v>0.012987012987012988</v>
      </c>
      <c r="G215" s="15">
        <v>1.0</v>
      </c>
      <c r="H215" s="28" t="s">
        <v>400</v>
      </c>
      <c r="I215" s="3" t="s">
        <v>308</v>
      </c>
      <c r="J215" s="3" t="s">
        <v>309</v>
      </c>
      <c r="K215" s="15">
        <v>0.008706361305408495</v>
      </c>
    </row>
    <row r="216" ht="39.75" customHeight="1">
      <c r="A216" s="3" t="s">
        <v>662</v>
      </c>
      <c r="B216" s="27">
        <v>0.0</v>
      </c>
      <c r="C216" s="27">
        <v>0.0</v>
      </c>
      <c r="D216" s="27">
        <v>-0.010553089911378563</v>
      </c>
      <c r="E216" s="27">
        <v>0.0</v>
      </c>
      <c r="F216" s="15">
        <v>1.0</v>
      </c>
      <c r="G216" s="15">
        <v>1.0</v>
      </c>
      <c r="H216" s="28" t="s">
        <v>400</v>
      </c>
      <c r="I216" s="3" t="s">
        <v>308</v>
      </c>
      <c r="J216" s="3" t="s">
        <v>309</v>
      </c>
      <c r="K216" s="15">
        <v>0.0</v>
      </c>
    </row>
    <row r="217" ht="39.75" customHeight="1">
      <c r="A217" s="3" t="s">
        <v>663</v>
      </c>
      <c r="B217" s="27">
        <v>0.0</v>
      </c>
      <c r="C217" s="27">
        <v>0.0</v>
      </c>
      <c r="D217" s="27">
        <v>-0.014532390655670082</v>
      </c>
      <c r="E217" s="27">
        <v>0.0</v>
      </c>
      <c r="F217" s="15">
        <v>1.0</v>
      </c>
      <c r="G217" s="15">
        <v>1.0</v>
      </c>
      <c r="H217" s="28" t="s">
        <v>400</v>
      </c>
      <c r="I217" s="3" t="s">
        <v>308</v>
      </c>
      <c r="J217" s="3" t="s">
        <v>309</v>
      </c>
      <c r="K217" s="15">
        <v>0.0</v>
      </c>
    </row>
    <row r="218" ht="39.75" customHeight="1">
      <c r="A218" s="3" t="s">
        <v>664</v>
      </c>
      <c r="B218" s="27">
        <v>0.037450509057803026</v>
      </c>
      <c r="C218" s="27">
        <v>0.018608508181905233</v>
      </c>
      <c r="D218" s="27">
        <v>0.0033242669595434744</v>
      </c>
      <c r="E218" s="27">
        <v>0.02505527088588101</v>
      </c>
      <c r="F218" s="15">
        <v>0.007992007992007992</v>
      </c>
      <c r="G218" s="15">
        <v>1.0</v>
      </c>
      <c r="H218" s="28" t="s">
        <v>400</v>
      </c>
      <c r="I218" s="3" t="s">
        <v>308</v>
      </c>
      <c r="J218" s="3" t="s">
        <v>309</v>
      </c>
      <c r="K218" s="15">
        <v>0.01878272543349834</v>
      </c>
    </row>
    <row r="219" ht="39.75" customHeight="1">
      <c r="A219" s="3" t="s">
        <v>665</v>
      </c>
      <c r="B219" s="27">
        <v>0.006129718312253119</v>
      </c>
      <c r="C219" s="27">
        <v>7.958830827223081E-4</v>
      </c>
      <c r="D219" s="27">
        <v>0.0</v>
      </c>
      <c r="E219" s="27">
        <v>0.004603565661118807</v>
      </c>
      <c r="F219" s="15">
        <v>0.7852147852147852</v>
      </c>
      <c r="G219" s="15">
        <v>1.0</v>
      </c>
      <c r="H219" s="28" t="s">
        <v>400</v>
      </c>
      <c r="I219" s="3" t="s">
        <v>308</v>
      </c>
      <c r="J219" s="3" t="s">
        <v>309</v>
      </c>
      <c r="K219" s="15">
        <v>7.961998817023984E-4</v>
      </c>
    </row>
    <row r="220" ht="39.75" customHeight="1">
      <c r="A220" s="3" t="s">
        <v>666</v>
      </c>
      <c r="B220" s="27">
        <v>0.0</v>
      </c>
      <c r="C220" s="27">
        <v>0.0</v>
      </c>
      <c r="D220" s="27">
        <v>0.0</v>
      </c>
      <c r="E220" s="27">
        <v>3.805159995549092E-4</v>
      </c>
      <c r="F220" s="15">
        <v>1.0</v>
      </c>
      <c r="G220" s="15">
        <v>1.0</v>
      </c>
      <c r="H220" s="28" t="s">
        <v>400</v>
      </c>
      <c r="I220" s="3" t="s">
        <v>308</v>
      </c>
      <c r="J220" s="3" t="s">
        <v>309</v>
      </c>
      <c r="K220" s="15">
        <v>0.0</v>
      </c>
    </row>
    <row r="221" ht="39.75" customHeight="1">
      <c r="A221" s="3" t="s">
        <v>667</v>
      </c>
      <c r="B221" s="27">
        <v>0.0</v>
      </c>
      <c r="C221" s="27">
        <v>0.0</v>
      </c>
      <c r="D221" s="27">
        <v>-0.0031412086092839457</v>
      </c>
      <c r="E221" s="27">
        <v>0.0</v>
      </c>
      <c r="F221" s="15">
        <v>1.0</v>
      </c>
      <c r="G221" s="15">
        <v>1.0</v>
      </c>
      <c r="H221" s="28" t="s">
        <v>400</v>
      </c>
      <c r="I221" s="3" t="s">
        <v>308</v>
      </c>
      <c r="J221" s="3" t="s">
        <v>309</v>
      </c>
      <c r="K221" s="15">
        <v>0.0</v>
      </c>
    </row>
    <row r="222" ht="39.75" customHeight="1">
      <c r="A222" s="3" t="s">
        <v>668</v>
      </c>
      <c r="B222" s="27">
        <v>0.0</v>
      </c>
      <c r="C222" s="27">
        <v>0.0</v>
      </c>
      <c r="D222" s="27">
        <v>0.0</v>
      </c>
      <c r="E222" s="27">
        <v>0.0</v>
      </c>
      <c r="F222" s="15">
        <v>1.0</v>
      </c>
      <c r="G222" s="15">
        <v>1.0</v>
      </c>
      <c r="H222" s="28" t="s">
        <v>400</v>
      </c>
      <c r="I222" s="3" t="s">
        <v>308</v>
      </c>
      <c r="J222" s="3" t="s">
        <v>309</v>
      </c>
      <c r="K222" s="15">
        <v>0.0</v>
      </c>
    </row>
    <row r="223" ht="39.75" customHeight="1">
      <c r="A223" s="3" t="s">
        <v>669</v>
      </c>
      <c r="B223" s="27">
        <v>0.0</v>
      </c>
      <c r="C223" s="27">
        <v>0.0</v>
      </c>
      <c r="D223" s="27">
        <v>-0.002186574101598627</v>
      </c>
      <c r="E223" s="27">
        <v>0.005447842506637068</v>
      </c>
      <c r="F223" s="15">
        <v>1.0</v>
      </c>
      <c r="G223" s="15">
        <v>1.0</v>
      </c>
      <c r="H223" s="28" t="s">
        <v>400</v>
      </c>
      <c r="I223" s="3" t="s">
        <v>308</v>
      </c>
      <c r="J223" s="3" t="s">
        <v>309</v>
      </c>
      <c r="K223" s="15">
        <v>0.0</v>
      </c>
    </row>
    <row r="224" ht="39.75" customHeight="1">
      <c r="A224" s="3" t="s">
        <v>670</v>
      </c>
      <c r="B224" s="27">
        <v>0.0028127778024830807</v>
      </c>
      <c r="C224" s="27">
        <v>3.1697146493657447E-4</v>
      </c>
      <c r="D224" s="27">
        <v>0.0</v>
      </c>
      <c r="E224" s="27">
        <v>0.004840971758839745</v>
      </c>
      <c r="F224" s="15">
        <v>0.9210789210789211</v>
      </c>
      <c r="G224" s="15">
        <v>1.0</v>
      </c>
      <c r="H224" s="28" t="s">
        <v>400</v>
      </c>
      <c r="I224" s="3" t="s">
        <v>308</v>
      </c>
      <c r="J224" s="3" t="s">
        <v>309</v>
      </c>
      <c r="K224" s="15">
        <v>3.170217056995223E-4</v>
      </c>
    </row>
    <row r="225" ht="39.75" customHeight="1">
      <c r="A225" s="3" t="s">
        <v>671</v>
      </c>
      <c r="B225" s="27">
        <v>-0.046340311631225505</v>
      </c>
      <c r="C225" s="27">
        <v>-0.0033156220517521406</v>
      </c>
      <c r="D225" s="27">
        <v>-0.01065117243250978</v>
      </c>
      <c r="E225" s="27">
        <v>0.0</v>
      </c>
      <c r="F225" s="15">
        <v>0.5194805194805194</v>
      </c>
      <c r="G225" s="15">
        <v>1.0</v>
      </c>
      <c r="H225" s="28" t="s">
        <v>400</v>
      </c>
      <c r="I225" s="3" t="s">
        <v>308</v>
      </c>
      <c r="J225" s="3" t="s">
        <v>309</v>
      </c>
      <c r="K225" s="15">
        <v>-0.00331013144689026</v>
      </c>
    </row>
    <row r="226" ht="39.75" customHeight="1">
      <c r="A226" s="3" t="s">
        <v>673</v>
      </c>
      <c r="B226" s="27">
        <v>0.0</v>
      </c>
      <c r="C226" s="27">
        <v>0.0</v>
      </c>
      <c r="D226" s="27">
        <v>0.0</v>
      </c>
      <c r="E226" s="27">
        <v>0.0</v>
      </c>
      <c r="F226" s="15">
        <v>1.0</v>
      </c>
      <c r="G226" s="15">
        <v>1.0</v>
      </c>
      <c r="H226" s="28" t="s">
        <v>400</v>
      </c>
      <c r="I226" s="3" t="s">
        <v>308</v>
      </c>
      <c r="J226" s="3" t="s">
        <v>309</v>
      </c>
      <c r="K226" s="15">
        <v>0.0</v>
      </c>
    </row>
    <row r="227" ht="39.75" customHeight="1">
      <c r="A227" s="3" t="s">
        <v>675</v>
      </c>
      <c r="B227" s="27">
        <v>0.0</v>
      </c>
      <c r="C227" s="27">
        <v>0.0</v>
      </c>
      <c r="D227" s="27">
        <v>0.0</v>
      </c>
      <c r="E227" s="27">
        <v>0.0011079191274787233</v>
      </c>
      <c r="F227" s="15">
        <v>1.0</v>
      </c>
      <c r="G227" s="15">
        <v>1.0</v>
      </c>
      <c r="H227" s="28" t="s">
        <v>400</v>
      </c>
      <c r="I227" s="3" t="s">
        <v>308</v>
      </c>
      <c r="J227" s="3" t="s">
        <v>309</v>
      </c>
      <c r="K227" s="15">
        <v>0.0</v>
      </c>
    </row>
    <row r="228" ht="39.75" customHeight="1">
      <c r="A228" s="3" t="s">
        <v>676</v>
      </c>
      <c r="B228" s="27">
        <v>0.005194691806757248</v>
      </c>
      <c r="C228" s="27">
        <v>0.0012257138553637332</v>
      </c>
      <c r="D228" s="27">
        <v>-0.002898395141805181</v>
      </c>
      <c r="E228" s="27">
        <v>0.007668668765035211</v>
      </c>
      <c r="F228" s="15">
        <v>0.7912087912087912</v>
      </c>
      <c r="G228" s="15">
        <v>1.0</v>
      </c>
      <c r="H228" s="28" t="s">
        <v>400</v>
      </c>
      <c r="I228" s="3" t="s">
        <v>308</v>
      </c>
      <c r="J228" s="3" t="s">
        <v>309</v>
      </c>
      <c r="K228" s="15">
        <v>0.0012264653495989495</v>
      </c>
    </row>
    <row r="229" ht="39.75" customHeight="1">
      <c r="A229" s="3" t="s">
        <v>677</v>
      </c>
      <c r="B229" s="27">
        <v>0.0</v>
      </c>
      <c r="C229" s="27">
        <v>0.0</v>
      </c>
      <c r="D229" s="27">
        <v>-0.004272557799693462</v>
      </c>
      <c r="E229" s="27">
        <v>0.002665518133741535</v>
      </c>
      <c r="F229" s="15">
        <v>1.0</v>
      </c>
      <c r="G229" s="15">
        <v>1.0</v>
      </c>
      <c r="H229" s="28" t="s">
        <v>400</v>
      </c>
      <c r="I229" s="3" t="s">
        <v>308</v>
      </c>
      <c r="J229" s="3" t="s">
        <v>309</v>
      </c>
      <c r="K229" s="15">
        <v>0.0</v>
      </c>
    </row>
    <row r="230" ht="39.75" customHeight="1">
      <c r="A230" s="3" t="s">
        <v>683</v>
      </c>
      <c r="B230" s="27">
        <v>0.0</v>
      </c>
      <c r="C230" s="27">
        <v>0.0</v>
      </c>
      <c r="D230" s="27">
        <v>0.0</v>
      </c>
      <c r="E230" s="27">
        <v>0.0</v>
      </c>
      <c r="F230" s="15">
        <v>1.0</v>
      </c>
      <c r="G230" s="15">
        <v>1.0</v>
      </c>
      <c r="H230" s="28" t="s">
        <v>400</v>
      </c>
      <c r="I230" s="3" t="s">
        <v>308</v>
      </c>
      <c r="J230" s="3" t="s">
        <v>309</v>
      </c>
      <c r="K230" s="15">
        <v>0.0</v>
      </c>
    </row>
    <row r="231" ht="39.75" customHeight="1">
      <c r="A231" s="3" t="s">
        <v>689</v>
      </c>
      <c r="B231" s="27">
        <v>0.0</v>
      </c>
      <c r="C231" s="27">
        <v>0.0</v>
      </c>
      <c r="D231" s="27">
        <v>-0.005423902082644947</v>
      </c>
      <c r="E231" s="27">
        <v>0.00390222828126836</v>
      </c>
      <c r="F231" s="15">
        <v>1.0</v>
      </c>
      <c r="G231" s="15">
        <v>1.0</v>
      </c>
      <c r="H231" s="28" t="s">
        <v>400</v>
      </c>
      <c r="I231" s="3" t="s">
        <v>308</v>
      </c>
      <c r="J231" s="3" t="s">
        <v>309</v>
      </c>
      <c r="K231" s="15">
        <v>0.0</v>
      </c>
    </row>
    <row r="232" ht="39.75" customHeight="1">
      <c r="A232" s="3" t="s">
        <v>695</v>
      </c>
      <c r="B232" s="27">
        <v>-0.021701407747118585</v>
      </c>
      <c r="C232" s="27">
        <v>-0.0015527229651154655</v>
      </c>
      <c r="D232" s="27">
        <v>-0.004110267830893953</v>
      </c>
      <c r="E232" s="27">
        <v>0.0</v>
      </c>
      <c r="F232" s="15">
        <v>0.4175824175824176</v>
      </c>
      <c r="G232" s="15">
        <v>1.0</v>
      </c>
      <c r="H232" s="28" t="s">
        <v>400</v>
      </c>
      <c r="I232" s="3" t="s">
        <v>308</v>
      </c>
      <c r="J232" s="3" t="s">
        <v>309</v>
      </c>
      <c r="K232" s="15">
        <v>-0.0015515181144926922</v>
      </c>
    </row>
    <row r="233" ht="39.75" customHeight="1">
      <c r="A233" s="3" t="s">
        <v>702</v>
      </c>
      <c r="B233" s="27">
        <v>0.00669050979581988</v>
      </c>
      <c r="C233" s="27">
        <v>0.0032862672482060857</v>
      </c>
      <c r="D233" s="27">
        <v>0.0</v>
      </c>
      <c r="E233" s="27">
        <v>0.013787561376858984</v>
      </c>
      <c r="F233" s="15">
        <v>0.46553446553446554</v>
      </c>
      <c r="G233" s="15">
        <v>1.0</v>
      </c>
      <c r="H233" s="28" t="s">
        <v>400</v>
      </c>
      <c r="I233" s="3" t="s">
        <v>308</v>
      </c>
      <c r="J233" s="3" t="s">
        <v>309</v>
      </c>
      <c r="K233" s="15">
        <v>0.0032916729443181005</v>
      </c>
    </row>
    <row r="234" ht="39.75" customHeight="1">
      <c r="A234" s="3" t="s">
        <v>709</v>
      </c>
      <c r="B234" s="27">
        <v>0.0</v>
      </c>
      <c r="C234" s="27">
        <v>0.0</v>
      </c>
      <c r="D234" s="27">
        <v>-0.00351384028513297</v>
      </c>
      <c r="E234" s="27">
        <v>0.0</v>
      </c>
      <c r="F234" s="15">
        <v>1.0</v>
      </c>
      <c r="G234" s="15">
        <v>1.0</v>
      </c>
      <c r="H234" s="28" t="s">
        <v>400</v>
      </c>
      <c r="I234" s="3" t="s">
        <v>308</v>
      </c>
      <c r="J234" s="3" t="s">
        <v>309</v>
      </c>
      <c r="K234" s="15">
        <v>0.0</v>
      </c>
    </row>
    <row r="235" ht="39.75" customHeight="1">
      <c r="A235" s="3" t="s">
        <v>715</v>
      </c>
      <c r="B235" s="27">
        <v>0.0010650068470343785</v>
      </c>
      <c r="C235" s="27">
        <v>2.580033592060027E-4</v>
      </c>
      <c r="D235" s="27">
        <v>0.0</v>
      </c>
      <c r="E235" s="27">
        <v>0.0062203582479204425</v>
      </c>
      <c r="F235" s="15">
        <v>0.929070929070929</v>
      </c>
      <c r="G235" s="15">
        <v>1.0</v>
      </c>
      <c r="H235" s="28" t="s">
        <v>400</v>
      </c>
      <c r="I235" s="3" t="s">
        <v>308</v>
      </c>
      <c r="J235" s="3" t="s">
        <v>309</v>
      </c>
      <c r="K235" s="15">
        <v>2.580366449352319E-4</v>
      </c>
    </row>
    <row r="236" ht="39.75" customHeight="1">
      <c r="A236" s="3" t="s">
        <v>721</v>
      </c>
      <c r="B236" s="27">
        <v>-0.0025453355809684545</v>
      </c>
      <c r="C236" s="27">
        <v>-1.9662432108008944E-4</v>
      </c>
      <c r="D236" s="27">
        <v>-0.00412300628770375</v>
      </c>
      <c r="E236" s="27">
        <v>0.0</v>
      </c>
      <c r="F236" s="15">
        <v>0.9370629370629371</v>
      </c>
      <c r="G236" s="15">
        <v>1.0</v>
      </c>
      <c r="H236" s="28" t="s">
        <v>400</v>
      </c>
      <c r="I236" s="3" t="s">
        <v>308</v>
      </c>
      <c r="J236" s="3" t="s">
        <v>309</v>
      </c>
      <c r="K236" s="15">
        <v>-1.9660499178515993E-4</v>
      </c>
    </row>
    <row r="237" ht="39.75" customHeight="1">
      <c r="A237" s="3" t="s">
        <v>729</v>
      </c>
      <c r="B237" s="27">
        <v>0.006367660030640899</v>
      </c>
      <c r="C237" s="27">
        <v>0.0028073743016583308</v>
      </c>
      <c r="D237" s="27">
        <v>0.0</v>
      </c>
      <c r="E237" s="27">
        <v>0.012358348274116478</v>
      </c>
      <c r="F237" s="15">
        <v>0.5854145854145855</v>
      </c>
      <c r="G237" s="15">
        <v>1.0</v>
      </c>
      <c r="H237" s="28" t="s">
        <v>400</v>
      </c>
      <c r="I237" s="3" t="s">
        <v>308</v>
      </c>
      <c r="J237" s="3" t="s">
        <v>309</v>
      </c>
      <c r="K237" s="15">
        <v>0.0028113186671328725</v>
      </c>
    </row>
    <row r="238" ht="39.75" customHeight="1">
      <c r="A238" s="3" t="s">
        <v>735</v>
      </c>
      <c r="B238" s="27">
        <v>0.0</v>
      </c>
      <c r="C238" s="27">
        <v>0.0</v>
      </c>
      <c r="D238" s="27">
        <v>0.0</v>
      </c>
      <c r="E238" s="27">
        <v>0.0</v>
      </c>
      <c r="F238" s="15">
        <v>1.0</v>
      </c>
      <c r="G238" s="15">
        <v>1.0</v>
      </c>
      <c r="H238" s="28" t="s">
        <v>400</v>
      </c>
      <c r="I238" s="3" t="s">
        <v>308</v>
      </c>
      <c r="J238" s="3" t="s">
        <v>309</v>
      </c>
      <c r="K238" s="15">
        <v>0.0</v>
      </c>
    </row>
    <row r="239" ht="39.75" customHeight="1">
      <c r="A239" s="3" t="s">
        <v>740</v>
      </c>
      <c r="B239" s="27">
        <v>0.0</v>
      </c>
      <c r="C239" s="27">
        <v>0.0</v>
      </c>
      <c r="D239" s="27">
        <v>0.0</v>
      </c>
      <c r="E239" s="27">
        <v>0.0</v>
      </c>
      <c r="F239" s="15">
        <v>1.0</v>
      </c>
      <c r="G239" s="15">
        <v>1.0</v>
      </c>
      <c r="H239" s="28" t="s">
        <v>400</v>
      </c>
      <c r="I239" s="3" t="s">
        <v>308</v>
      </c>
      <c r="J239" s="3" t="s">
        <v>309</v>
      </c>
      <c r="K239" s="15">
        <v>0.0</v>
      </c>
    </row>
    <row r="240" ht="39.75" customHeight="1">
      <c r="A240" s="3" t="s">
        <v>741</v>
      </c>
      <c r="B240" s="27">
        <v>0.0</v>
      </c>
      <c r="C240" s="27">
        <v>0.0</v>
      </c>
      <c r="D240" s="27">
        <v>0.0</v>
      </c>
      <c r="E240" s="27">
        <v>0.0</v>
      </c>
      <c r="F240" s="15">
        <v>1.0</v>
      </c>
      <c r="G240" s="15">
        <v>1.0</v>
      </c>
      <c r="H240" s="28" t="s">
        <v>400</v>
      </c>
      <c r="I240" s="3" t="s">
        <v>308</v>
      </c>
      <c r="J240" s="3" t="s">
        <v>309</v>
      </c>
      <c r="K240" s="15">
        <v>0.0</v>
      </c>
    </row>
    <row r="241" ht="39.75" customHeight="1">
      <c r="A241" s="3" t="s">
        <v>743</v>
      </c>
      <c r="B241" s="27">
        <v>0.0</v>
      </c>
      <c r="C241" s="27">
        <v>0.0</v>
      </c>
      <c r="D241" s="27">
        <v>0.0</v>
      </c>
      <c r="E241" s="27">
        <v>0.0</v>
      </c>
      <c r="F241" s="15">
        <v>1.0</v>
      </c>
      <c r="G241" s="15">
        <v>1.0</v>
      </c>
      <c r="H241" s="28" t="s">
        <v>400</v>
      </c>
      <c r="I241" s="3" t="s">
        <v>308</v>
      </c>
      <c r="J241" s="3" t="s">
        <v>309</v>
      </c>
      <c r="K241" s="15">
        <v>0.0</v>
      </c>
    </row>
    <row r="242" ht="39.75" customHeight="1">
      <c r="A242" s="3" t="s">
        <v>744</v>
      </c>
      <c r="B242" s="27">
        <v>0.0</v>
      </c>
      <c r="C242" s="27">
        <v>0.0</v>
      </c>
      <c r="D242" s="27">
        <v>0.0</v>
      </c>
      <c r="E242" s="27">
        <v>0.005899403144208901</v>
      </c>
      <c r="F242" s="15">
        <v>1.0</v>
      </c>
      <c r="G242" s="15">
        <v>1.0</v>
      </c>
      <c r="H242" s="28" t="s">
        <v>400</v>
      </c>
      <c r="I242" s="3" t="s">
        <v>308</v>
      </c>
      <c r="J242" s="3" t="s">
        <v>309</v>
      </c>
      <c r="K242" s="15">
        <v>0.0</v>
      </c>
    </row>
    <row r="243" ht="39.75" customHeight="1">
      <c r="A243" s="3" t="s">
        <v>745</v>
      </c>
      <c r="B243" s="27">
        <v>0.0</v>
      </c>
      <c r="C243" s="27">
        <v>0.0</v>
      </c>
      <c r="D243" s="27">
        <v>0.0</v>
      </c>
      <c r="E243" s="27">
        <v>0.0</v>
      </c>
      <c r="F243" s="15">
        <v>1.0</v>
      </c>
      <c r="G243" s="15">
        <v>1.0</v>
      </c>
      <c r="H243" s="28" t="s">
        <v>400</v>
      </c>
      <c r="I243" s="3" t="s">
        <v>308</v>
      </c>
      <c r="J243" s="3" t="s">
        <v>309</v>
      </c>
      <c r="K243" s="15">
        <v>0.0</v>
      </c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21.75" customHeight="1">
      <c r="A246" s="23" t="s">
        <v>746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8.0"/>
    <col customWidth="1" min="2" max="2" width="22.0"/>
    <col customWidth="1" min="3" max="3" width="23.0"/>
    <col customWidth="1" min="4" max="4" width="19.0"/>
    <col customWidth="1" min="5" max="7" width="23.0"/>
    <col customWidth="1" min="8" max="8" width="19.0"/>
    <col customWidth="1" min="9" max="12" width="23.0"/>
    <col customWidth="1" min="13" max="13" width="68.0"/>
  </cols>
  <sheetData>
    <row r="1" ht="12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4.75" customHeight="1">
      <c r="A2" s="14" t="s">
        <v>233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21.75" customHeight="1">
      <c r="A3" s="17" t="s">
        <v>241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2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31.5" customHeight="1">
      <c r="A5" s="2" t="s">
        <v>251</v>
      </c>
      <c r="B5" s="2" t="s">
        <v>252</v>
      </c>
      <c r="C5" s="2" t="s">
        <v>36</v>
      </c>
      <c r="D5" s="2" t="s">
        <v>255</v>
      </c>
      <c r="E5" s="2" t="s">
        <v>257</v>
      </c>
      <c r="F5" s="2" t="s">
        <v>258</v>
      </c>
      <c r="G5" s="3"/>
      <c r="H5" s="3"/>
      <c r="I5" s="3"/>
      <c r="J5" s="3"/>
      <c r="K5" s="3"/>
      <c r="L5" s="3"/>
      <c r="M5" s="3"/>
    </row>
    <row r="6" ht="30.0" customHeight="1">
      <c r="A6" s="3" t="s">
        <v>261</v>
      </c>
      <c r="B6" s="3" t="s">
        <v>262</v>
      </c>
      <c r="C6" s="3" t="s">
        <v>183</v>
      </c>
      <c r="D6" s="3">
        <v>112.0</v>
      </c>
      <c r="E6" s="11">
        <v>8827.68860676303</v>
      </c>
      <c r="F6" s="11">
        <v>12593.413809431408</v>
      </c>
      <c r="G6" s="3"/>
      <c r="H6" s="3"/>
      <c r="I6" s="3"/>
      <c r="J6" s="3"/>
      <c r="K6" s="3"/>
      <c r="L6" s="3"/>
      <c r="M6" s="3"/>
    </row>
    <row r="7" ht="30.0" customHeight="1">
      <c r="A7" s="3" t="s">
        <v>261</v>
      </c>
      <c r="B7" s="3" t="s">
        <v>262</v>
      </c>
      <c r="C7" s="3" t="s">
        <v>198</v>
      </c>
      <c r="D7" s="3">
        <v>112.0</v>
      </c>
      <c r="E7" s="11">
        <v>10552.025922619048</v>
      </c>
      <c r="F7" s="11">
        <v>15488.857482959043</v>
      </c>
      <c r="G7" s="3"/>
      <c r="H7" s="3"/>
      <c r="I7" s="3"/>
      <c r="J7" s="3"/>
      <c r="K7" s="3"/>
      <c r="L7" s="3"/>
      <c r="M7" s="3"/>
    </row>
    <row r="8" ht="30.0" customHeight="1">
      <c r="A8" s="3" t="s">
        <v>261</v>
      </c>
      <c r="B8" s="3" t="s">
        <v>271</v>
      </c>
      <c r="C8" s="3" t="s">
        <v>183</v>
      </c>
      <c r="D8" s="3">
        <v>96.0</v>
      </c>
      <c r="E8" s="11">
        <v>13119.571045461867</v>
      </c>
      <c r="F8" s="11">
        <v>18770.75197185594</v>
      </c>
      <c r="G8" s="3"/>
      <c r="H8" s="3"/>
      <c r="I8" s="3"/>
      <c r="J8" s="3"/>
      <c r="K8" s="3"/>
      <c r="L8" s="3"/>
      <c r="M8" s="3"/>
    </row>
    <row r="9" ht="30.0" customHeight="1">
      <c r="A9" s="3" t="s">
        <v>261</v>
      </c>
      <c r="B9" s="3" t="s">
        <v>271</v>
      </c>
      <c r="C9" s="3" t="s">
        <v>198</v>
      </c>
      <c r="D9" s="3">
        <v>96.0</v>
      </c>
      <c r="E9" s="11">
        <v>13622.40704861111</v>
      </c>
      <c r="F9" s="11">
        <v>19358.743351006695</v>
      </c>
      <c r="G9" s="3"/>
      <c r="H9" s="3"/>
      <c r="I9" s="3"/>
      <c r="J9" s="3"/>
      <c r="K9" s="3"/>
      <c r="L9" s="3"/>
      <c r="M9" s="3"/>
    </row>
    <row r="10" ht="30.0" customHeight="1">
      <c r="A10" s="3" t="s">
        <v>261</v>
      </c>
      <c r="B10" s="3" t="s">
        <v>288</v>
      </c>
      <c r="C10" s="3" t="s">
        <v>183</v>
      </c>
      <c r="D10" s="3">
        <v>84.0</v>
      </c>
      <c r="E10" s="11">
        <v>23372.135644373786</v>
      </c>
      <c r="F10" s="11">
        <v>33477.66676890252</v>
      </c>
      <c r="G10" s="3"/>
      <c r="H10" s="3"/>
      <c r="I10" s="3"/>
      <c r="J10" s="3"/>
      <c r="K10" s="3"/>
      <c r="L10" s="3"/>
      <c r="M10" s="3"/>
    </row>
    <row r="11" ht="30.0" customHeight="1">
      <c r="A11" s="3" t="s">
        <v>261</v>
      </c>
      <c r="B11" s="3" t="s">
        <v>288</v>
      </c>
      <c r="C11" s="3" t="s">
        <v>198</v>
      </c>
      <c r="D11" s="3">
        <v>84.0</v>
      </c>
      <c r="E11" s="11">
        <v>27315.55214285715</v>
      </c>
      <c r="F11" s="11">
        <v>42300.571594832676</v>
      </c>
      <c r="G11" s="3"/>
      <c r="H11" s="3"/>
      <c r="I11" s="3"/>
      <c r="J11" s="3"/>
      <c r="K11" s="3"/>
      <c r="L11" s="3"/>
      <c r="M11" s="3"/>
    </row>
    <row r="12" ht="30.0" customHeight="1">
      <c r="A12" s="3" t="s">
        <v>289</v>
      </c>
      <c r="B12" s="3" t="s">
        <v>290</v>
      </c>
      <c r="C12" s="3" t="s">
        <v>183</v>
      </c>
      <c r="D12" s="3">
        <v>123.0</v>
      </c>
      <c r="E12" s="11">
        <v>11085.367295114196</v>
      </c>
      <c r="F12" s="11">
        <v>17295.34174230391</v>
      </c>
      <c r="G12" s="3"/>
      <c r="H12" s="3"/>
      <c r="I12" s="3"/>
      <c r="J12" s="3"/>
      <c r="K12" s="3"/>
      <c r="L12" s="3"/>
      <c r="M12" s="3"/>
    </row>
    <row r="13" ht="30.0" customHeight="1">
      <c r="A13" s="3" t="s">
        <v>289</v>
      </c>
      <c r="B13" s="3" t="s">
        <v>290</v>
      </c>
      <c r="C13" s="3" t="s">
        <v>198</v>
      </c>
      <c r="D13" s="3">
        <v>123.0</v>
      </c>
      <c r="E13" s="11">
        <v>12051.776341463414</v>
      </c>
      <c r="F13" s="11">
        <v>18012.25169366712</v>
      </c>
      <c r="G13" s="3"/>
      <c r="H13" s="3"/>
      <c r="I13" s="3"/>
      <c r="J13" s="3"/>
      <c r="K13" s="3"/>
      <c r="L13" s="3"/>
      <c r="M13" s="3"/>
    </row>
    <row r="14" ht="30.0" customHeight="1">
      <c r="A14" s="3" t="s">
        <v>289</v>
      </c>
      <c r="B14" s="3" t="s">
        <v>293</v>
      </c>
      <c r="C14" s="3" t="s">
        <v>183</v>
      </c>
      <c r="D14" s="3">
        <v>124.0</v>
      </c>
      <c r="E14" s="11">
        <v>12938.211584290848</v>
      </c>
      <c r="F14" s="11">
        <v>17228.76353516042</v>
      </c>
      <c r="G14" s="3"/>
      <c r="H14" s="3"/>
      <c r="I14" s="3"/>
      <c r="J14" s="3"/>
      <c r="K14" s="3"/>
      <c r="L14" s="3"/>
      <c r="M14" s="3"/>
    </row>
    <row r="15" ht="30.0" customHeight="1">
      <c r="A15" s="3" t="s">
        <v>289</v>
      </c>
      <c r="B15" s="3" t="s">
        <v>293</v>
      </c>
      <c r="C15" s="3" t="s">
        <v>198</v>
      </c>
      <c r="D15" s="3">
        <v>124.0</v>
      </c>
      <c r="E15" s="11">
        <v>14976.712741935486</v>
      </c>
      <c r="F15" s="11">
        <v>21222.107945564923</v>
      </c>
      <c r="G15" s="3"/>
      <c r="H15" s="3"/>
      <c r="I15" s="3"/>
      <c r="J15" s="3"/>
      <c r="K15" s="3"/>
      <c r="L15" s="3"/>
      <c r="M15" s="3"/>
    </row>
    <row r="16" ht="30.0" customHeight="1">
      <c r="A16" s="3" t="s">
        <v>289</v>
      </c>
      <c r="B16" s="3" t="s">
        <v>307</v>
      </c>
      <c r="C16" s="3" t="s">
        <v>183</v>
      </c>
      <c r="D16" s="3">
        <v>45.0</v>
      </c>
      <c r="E16" s="11">
        <v>27635.576104401902</v>
      </c>
      <c r="F16" s="11">
        <v>40036.325318434385</v>
      </c>
      <c r="G16" s="3"/>
      <c r="H16" s="3"/>
      <c r="I16" s="3"/>
      <c r="J16" s="3"/>
      <c r="K16" s="3"/>
      <c r="L16" s="3"/>
      <c r="M16" s="3"/>
    </row>
    <row r="17" ht="30.0" customHeight="1">
      <c r="A17" s="3" t="s">
        <v>289</v>
      </c>
      <c r="B17" s="3" t="s">
        <v>307</v>
      </c>
      <c r="C17" s="3" t="s">
        <v>198</v>
      </c>
      <c r="D17" s="3">
        <v>45.0</v>
      </c>
      <c r="E17" s="11">
        <v>32102.29977777778</v>
      </c>
      <c r="F17" s="11">
        <v>51076.77781283571</v>
      </c>
      <c r="G17" s="3"/>
      <c r="H17" s="3"/>
      <c r="I17" s="3"/>
      <c r="J17" s="3"/>
      <c r="K17" s="3"/>
      <c r="L17" s="3"/>
      <c r="M17" s="3"/>
    </row>
    <row r="18" ht="12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21.75" customHeight="1">
      <c r="A19" s="23" t="s">
        <v>313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2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27.0" customHeight="1">
      <c r="A21" s="25" t="s">
        <v>317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31.5" customHeight="1">
      <c r="A22" s="2" t="s">
        <v>318</v>
      </c>
      <c r="B22" s="2" t="s">
        <v>101</v>
      </c>
      <c r="C22" s="2" t="s">
        <v>316</v>
      </c>
      <c r="D22" s="2" t="s">
        <v>320</v>
      </c>
      <c r="E22" s="2" t="s">
        <v>321</v>
      </c>
      <c r="F22" s="2" t="s">
        <v>322</v>
      </c>
      <c r="G22" s="2" t="s">
        <v>323</v>
      </c>
      <c r="H22" s="2" t="s">
        <v>324</v>
      </c>
      <c r="I22" s="2" t="s">
        <v>325</v>
      </c>
      <c r="J22" s="2" t="s">
        <v>326</v>
      </c>
      <c r="K22" s="2" t="s">
        <v>327</v>
      </c>
      <c r="L22" s="2" t="s">
        <v>328</v>
      </c>
      <c r="M22" s="2" t="s">
        <v>329</v>
      </c>
    </row>
    <row r="23" ht="42.0" customHeight="1">
      <c r="A23" s="3" t="s">
        <v>330</v>
      </c>
      <c r="B23" s="3">
        <v>2364.0</v>
      </c>
      <c r="C23" s="3">
        <v>9.0</v>
      </c>
      <c r="D23" s="3" t="s">
        <v>331</v>
      </c>
      <c r="E23" s="3">
        <v>2009.0</v>
      </c>
      <c r="F23" s="3">
        <v>2010.0</v>
      </c>
      <c r="G23" s="3">
        <v>2330.0</v>
      </c>
      <c r="H23" s="3">
        <v>3.0</v>
      </c>
      <c r="I23" s="11">
        <v>611657.0</v>
      </c>
      <c r="J23" s="11">
        <v>473938.31716575765</v>
      </c>
      <c r="K23" s="11">
        <v>137718.68283424235</v>
      </c>
      <c r="L23" s="11">
        <v>137718.68283424235</v>
      </c>
      <c r="M23" s="3" t="s">
        <v>333</v>
      </c>
    </row>
    <row r="24" ht="42.0" customHeight="1">
      <c r="A24" s="3" t="s">
        <v>334</v>
      </c>
      <c r="B24" s="3">
        <v>1973.0</v>
      </c>
      <c r="C24" s="3">
        <v>8.0</v>
      </c>
      <c r="D24" s="3" t="s">
        <v>331</v>
      </c>
      <c r="E24" s="3">
        <v>2006.0</v>
      </c>
      <c r="F24" s="3">
        <v>2006.0</v>
      </c>
      <c r="G24" s="3">
        <v>1935.0</v>
      </c>
      <c r="H24" s="3">
        <v>3.0</v>
      </c>
      <c r="I24" s="11">
        <v>395000.0</v>
      </c>
      <c r="J24" s="11">
        <v>295840.36690645723</v>
      </c>
      <c r="K24" s="11">
        <v>99159.63309354277</v>
      </c>
      <c r="L24" s="11">
        <v>99159.63309354277</v>
      </c>
      <c r="M24" s="3" t="s">
        <v>333</v>
      </c>
    </row>
    <row r="25" ht="42.0" customHeight="1">
      <c r="A25" s="3" t="s">
        <v>336</v>
      </c>
      <c r="B25" s="3">
        <v>2868.0</v>
      </c>
      <c r="C25" s="3">
        <v>9.0</v>
      </c>
      <c r="D25" s="3" t="s">
        <v>338</v>
      </c>
      <c r="E25" s="3">
        <v>2005.0</v>
      </c>
      <c r="F25" s="3">
        <v>2006.0</v>
      </c>
      <c r="G25" s="3">
        <v>1992.0</v>
      </c>
      <c r="H25" s="3">
        <v>3.0</v>
      </c>
      <c r="I25" s="11">
        <v>556581.0</v>
      </c>
      <c r="J25" s="11">
        <v>459516.38696037995</v>
      </c>
      <c r="K25" s="11">
        <v>97064.61303962005</v>
      </c>
      <c r="L25" s="11">
        <v>97064.61303962005</v>
      </c>
      <c r="M25" s="3" t="s">
        <v>333</v>
      </c>
    </row>
    <row r="26" ht="42.0" customHeight="1">
      <c r="A26" s="3" t="s">
        <v>340</v>
      </c>
      <c r="B26" s="3">
        <v>1473.0</v>
      </c>
      <c r="C26" s="3">
        <v>5.0</v>
      </c>
      <c r="D26" s="3" t="s">
        <v>341</v>
      </c>
      <c r="E26" s="3">
        <v>1968.0</v>
      </c>
      <c r="F26" s="3">
        <v>2003.0</v>
      </c>
      <c r="G26" s="3">
        <v>1437.0</v>
      </c>
      <c r="H26" s="3">
        <v>1.0</v>
      </c>
      <c r="I26" s="11">
        <v>143000.0</v>
      </c>
      <c r="J26" s="11">
        <v>238840.96118862147</v>
      </c>
      <c r="K26" s="11">
        <v>-95840.96118862147</v>
      </c>
      <c r="L26" s="11">
        <v>95840.96118862147</v>
      </c>
      <c r="M26" s="3" t="s">
        <v>333</v>
      </c>
    </row>
    <row r="27" ht="42.0" customHeight="1">
      <c r="A27" s="3" t="s">
        <v>344</v>
      </c>
      <c r="B27" s="3">
        <v>1954.0</v>
      </c>
      <c r="C27" s="3">
        <v>7.0</v>
      </c>
      <c r="D27" s="3" t="s">
        <v>345</v>
      </c>
      <c r="E27" s="3">
        <v>1939.0</v>
      </c>
      <c r="F27" s="3">
        <v>2006.0</v>
      </c>
      <c r="G27" s="3">
        <v>798.0</v>
      </c>
      <c r="H27" s="3">
        <v>2.0</v>
      </c>
      <c r="I27" s="11">
        <v>311500.0</v>
      </c>
      <c r="J27" s="11">
        <v>242416.95901502913</v>
      </c>
      <c r="K27" s="11">
        <v>69083.04098497087</v>
      </c>
      <c r="L27" s="11">
        <v>69083.04098497087</v>
      </c>
      <c r="M27" s="3" t="s">
        <v>333</v>
      </c>
    </row>
    <row r="28" ht="42.0" customHeight="1">
      <c r="A28" s="3" t="s">
        <v>348</v>
      </c>
      <c r="B28" s="3">
        <v>2042.0</v>
      </c>
      <c r="C28" s="3">
        <v>8.0</v>
      </c>
      <c r="D28" s="3" t="s">
        <v>331</v>
      </c>
      <c r="E28" s="3">
        <v>2008.0</v>
      </c>
      <c r="F28" s="3">
        <v>2009.0</v>
      </c>
      <c r="G28" s="3">
        <v>2042.0</v>
      </c>
      <c r="H28" s="3">
        <v>3.0</v>
      </c>
      <c r="I28" s="11">
        <v>253293.0</v>
      </c>
      <c r="J28" s="11">
        <v>318623.4145186426</v>
      </c>
      <c r="K28" s="11">
        <v>-65330.41451864259</v>
      </c>
      <c r="L28" s="11">
        <v>65330.41451864259</v>
      </c>
      <c r="M28" s="3" t="s">
        <v>333</v>
      </c>
    </row>
    <row r="29" ht="42.0" customHeight="1">
      <c r="A29" s="3" t="s">
        <v>351</v>
      </c>
      <c r="B29" s="3">
        <v>2898.0</v>
      </c>
      <c r="C29" s="3">
        <v>8.0</v>
      </c>
      <c r="D29" s="3" t="s">
        <v>354</v>
      </c>
      <c r="E29" s="3">
        <v>1976.0</v>
      </c>
      <c r="F29" s="3">
        <v>1976.0</v>
      </c>
      <c r="G29" s="3">
        <v>1565.0</v>
      </c>
      <c r="H29" s="3">
        <v>2.0</v>
      </c>
      <c r="I29" s="11">
        <v>287000.0</v>
      </c>
      <c r="J29" s="11">
        <v>346322.29501376214</v>
      </c>
      <c r="K29" s="11">
        <v>-59322.29501376214</v>
      </c>
      <c r="L29" s="11">
        <v>59322.29501376214</v>
      </c>
      <c r="M29" s="3" t="s">
        <v>333</v>
      </c>
    </row>
    <row r="30" ht="42.0" customHeight="1">
      <c r="A30" s="3" t="s">
        <v>356</v>
      </c>
      <c r="B30" s="3">
        <v>2794.0</v>
      </c>
      <c r="C30" s="3">
        <v>8.0</v>
      </c>
      <c r="D30" s="3" t="s">
        <v>358</v>
      </c>
      <c r="E30" s="3">
        <v>1995.0</v>
      </c>
      <c r="F30" s="3">
        <v>1996.0</v>
      </c>
      <c r="G30" s="3">
        <v>1462.0</v>
      </c>
      <c r="H30" s="3">
        <v>3.0</v>
      </c>
      <c r="I30" s="11">
        <v>403000.0</v>
      </c>
      <c r="J30" s="11">
        <v>343683.5580221533</v>
      </c>
      <c r="K30" s="11">
        <v>59316.44197784673</v>
      </c>
      <c r="L30" s="11">
        <v>59316.44197784673</v>
      </c>
      <c r="M30" s="3" t="s">
        <v>333</v>
      </c>
    </row>
    <row r="31" ht="42.0" customHeight="1">
      <c r="A31" s="3" t="s">
        <v>360</v>
      </c>
      <c r="B31" s="3">
        <v>2080.0</v>
      </c>
      <c r="C31" s="3">
        <v>5.0</v>
      </c>
      <c r="D31" s="3" t="s">
        <v>361</v>
      </c>
      <c r="E31" s="3">
        <v>1969.0</v>
      </c>
      <c r="F31" s="3">
        <v>1969.0</v>
      </c>
      <c r="G31" s="3">
        <v>1040.0</v>
      </c>
      <c r="H31" s="3">
        <v>2.0</v>
      </c>
      <c r="I31" s="11">
        <v>135000.0</v>
      </c>
      <c r="J31" s="11">
        <v>192684.32629340483</v>
      </c>
      <c r="K31" s="11">
        <v>-57684.326293404825</v>
      </c>
      <c r="L31" s="11">
        <v>57684.326293404825</v>
      </c>
      <c r="M31" s="3" t="s">
        <v>333</v>
      </c>
    </row>
    <row r="32" ht="42.0" customHeight="1">
      <c r="A32" s="3" t="s">
        <v>365</v>
      </c>
      <c r="B32" s="3">
        <v>2076.0</v>
      </c>
      <c r="C32" s="3">
        <v>10.0</v>
      </c>
      <c r="D32" s="3" t="s">
        <v>331</v>
      </c>
      <c r="E32" s="3">
        <v>2006.0</v>
      </c>
      <c r="F32" s="3">
        <v>2006.0</v>
      </c>
      <c r="G32" s="3">
        <v>2076.0</v>
      </c>
      <c r="H32" s="3">
        <v>3.0</v>
      </c>
      <c r="I32" s="11">
        <v>465000.0</v>
      </c>
      <c r="J32" s="11">
        <v>412634.5847653507</v>
      </c>
      <c r="K32" s="11">
        <v>52365.41523464932</v>
      </c>
      <c r="L32" s="11">
        <v>52365.41523464932</v>
      </c>
      <c r="M32" s="3" t="s">
        <v>333</v>
      </c>
    </row>
    <row r="33" ht="1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21.75" customHeight="1">
      <c r="A35" s="23" t="s">
        <v>369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21.75" customHeight="1">
      <c r="A36" s="23" t="s">
        <v>371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18.63"/>
    <col customWidth="1" min="3" max="3" width="58.75"/>
    <col customWidth="1" min="4" max="6" width="12.63"/>
  </cols>
  <sheetData>
    <row r="1" ht="15.75" customHeight="1">
      <c r="A1" s="29" t="s">
        <v>468</v>
      </c>
      <c r="B1" s="29" t="s">
        <v>470</v>
      </c>
      <c r="C1" s="29" t="s">
        <v>472</v>
      </c>
      <c r="D1" s="29" t="s">
        <v>16</v>
      </c>
    </row>
    <row r="2" ht="15.75" customHeight="1">
      <c r="A2" s="29" t="s">
        <v>473</v>
      </c>
      <c r="B2" s="29" t="s">
        <v>475</v>
      </c>
      <c r="C2" s="29" t="s">
        <v>476</v>
      </c>
      <c r="D2" s="29" t="s">
        <v>38</v>
      </c>
    </row>
    <row r="3" ht="15.75" customHeight="1">
      <c r="A3" s="29" t="s">
        <v>477</v>
      </c>
      <c r="B3" s="29" t="s">
        <v>478</v>
      </c>
      <c r="C3" s="29" t="s">
        <v>480</v>
      </c>
      <c r="D3" s="29" t="s">
        <v>38</v>
      </c>
    </row>
    <row r="4" ht="15.75" customHeight="1">
      <c r="A4" s="29" t="s">
        <v>481</v>
      </c>
      <c r="B4" s="29" t="s">
        <v>482</v>
      </c>
      <c r="C4" s="29" t="s">
        <v>483</v>
      </c>
      <c r="D4" s="29" t="s">
        <v>38</v>
      </c>
    </row>
    <row r="5" ht="15.75" customHeight="1">
      <c r="A5" s="29" t="s">
        <v>485</v>
      </c>
      <c r="B5" s="29" t="s">
        <v>486</v>
      </c>
      <c r="C5" s="29" t="s">
        <v>487</v>
      </c>
      <c r="D5" s="29" t="s">
        <v>38</v>
      </c>
    </row>
    <row r="6" ht="15.75" customHeight="1">
      <c r="A6" s="29" t="s">
        <v>488</v>
      </c>
      <c r="B6" s="29" t="s">
        <v>489</v>
      </c>
      <c r="C6" s="29" t="s">
        <v>490</v>
      </c>
      <c r="D6" s="29" t="s">
        <v>38</v>
      </c>
    </row>
    <row r="7" ht="15.75" customHeight="1">
      <c r="A7" s="29" t="s">
        <v>492</v>
      </c>
      <c r="B7" s="29" t="s">
        <v>493</v>
      </c>
      <c r="C7" s="29" t="s">
        <v>494</v>
      </c>
      <c r="D7" s="29" t="s">
        <v>38</v>
      </c>
    </row>
    <row r="8" ht="15.75" customHeight="1">
      <c r="A8" s="29" t="s">
        <v>492</v>
      </c>
      <c r="B8" s="29" t="s">
        <v>495</v>
      </c>
      <c r="C8" s="29" t="s">
        <v>496</v>
      </c>
      <c r="D8" s="29" t="s">
        <v>38</v>
      </c>
    </row>
    <row r="9" ht="15.75" customHeight="1">
      <c r="A9" s="29" t="s">
        <v>498</v>
      </c>
      <c r="B9" s="29" t="s">
        <v>499</v>
      </c>
      <c r="C9" s="29" t="s">
        <v>500</v>
      </c>
      <c r="D9" s="29" t="s">
        <v>38</v>
      </c>
    </row>
    <row r="10" ht="15.75" customHeight="1">
      <c r="A10" s="29" t="s">
        <v>501</v>
      </c>
      <c r="B10" s="29" t="s">
        <v>104</v>
      </c>
      <c r="C10" s="29" t="s">
        <v>503</v>
      </c>
      <c r="D10" s="29" t="s">
        <v>38</v>
      </c>
    </row>
    <row r="11" ht="15.75" customHeight="1">
      <c r="A11" s="29" t="s">
        <v>504</v>
      </c>
      <c r="B11" s="29" t="s">
        <v>505</v>
      </c>
      <c r="C11" s="29" t="s">
        <v>506</v>
      </c>
      <c r="D11" s="29" t="s">
        <v>38</v>
      </c>
    </row>
    <row r="12" ht="15.75" customHeight="1">
      <c r="A12" s="29" t="s">
        <v>508</v>
      </c>
      <c r="B12" s="29" t="s">
        <v>113</v>
      </c>
      <c r="C12" s="29" t="s">
        <v>509</v>
      </c>
      <c r="D12" s="29" t="s">
        <v>38</v>
      </c>
    </row>
    <row r="13" ht="39.75" customHeight="1">
      <c r="A13" s="30" t="s">
        <v>510</v>
      </c>
      <c r="B13" s="30" t="s">
        <v>114</v>
      </c>
      <c r="C13" s="31" t="s">
        <v>513</v>
      </c>
      <c r="D13" s="30" t="s">
        <v>38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5.0"/>
    <col customWidth="1" min="2" max="2" width="52.0"/>
    <col customWidth="1" min="3" max="3" width="30.0"/>
    <col customWidth="1" min="4" max="4" width="28.0"/>
    <col customWidth="1" min="5" max="5" width="69.0"/>
    <col customWidth="1" min="6" max="6" width="25.0"/>
    <col customWidth="1" min="7" max="26" width="8.63"/>
  </cols>
  <sheetData>
    <row r="1" ht="12.0" customHeight="1">
      <c r="A1" s="3"/>
      <c r="B1" s="3"/>
      <c r="C1" s="3"/>
      <c r="D1" s="3"/>
      <c r="E1" s="3"/>
      <c r="F1" s="3"/>
    </row>
    <row r="2" ht="24.75" customHeight="1">
      <c r="A2" s="14" t="s">
        <v>530</v>
      </c>
      <c r="B2" s="3"/>
      <c r="C2" s="3"/>
      <c r="D2" s="3"/>
      <c r="E2" s="3"/>
      <c r="F2" s="3"/>
    </row>
    <row r="3" ht="21.75" customHeight="1">
      <c r="A3" s="17" t="s">
        <v>533</v>
      </c>
      <c r="B3" s="3"/>
      <c r="C3" s="3"/>
      <c r="D3" s="3"/>
      <c r="E3" s="3"/>
      <c r="F3" s="3"/>
    </row>
    <row r="4" ht="12.0" customHeight="1">
      <c r="A4" s="3"/>
      <c r="B4" s="3"/>
      <c r="C4" s="3"/>
      <c r="D4" s="3"/>
      <c r="E4" s="3"/>
      <c r="F4" s="3"/>
    </row>
    <row r="5" ht="31.5" customHeight="1">
      <c r="A5" s="2" t="s">
        <v>537</v>
      </c>
      <c r="B5" s="2" t="s">
        <v>538</v>
      </c>
      <c r="C5" s="2" t="s">
        <v>539</v>
      </c>
      <c r="D5" s="2" t="s">
        <v>121</v>
      </c>
      <c r="E5" s="2" t="s">
        <v>541</v>
      </c>
      <c r="F5" s="2" t="s">
        <v>542</v>
      </c>
    </row>
    <row r="6" ht="42.0" customHeight="1">
      <c r="A6" s="3" t="s">
        <v>398</v>
      </c>
      <c r="B6" s="3" t="s">
        <v>546</v>
      </c>
      <c r="C6" s="3" t="s">
        <v>548</v>
      </c>
      <c r="D6" s="3" t="s">
        <v>112</v>
      </c>
      <c r="E6" s="3" t="s">
        <v>551</v>
      </c>
      <c r="F6" s="3" t="s">
        <v>553</v>
      </c>
    </row>
    <row r="7" ht="42.0" customHeight="1">
      <c r="A7" s="3" t="s">
        <v>555</v>
      </c>
      <c r="B7" s="3" t="s">
        <v>557</v>
      </c>
      <c r="C7" s="3" t="s">
        <v>560</v>
      </c>
      <c r="D7" s="3" t="s">
        <v>158</v>
      </c>
      <c r="E7" s="3" t="s">
        <v>562</v>
      </c>
      <c r="F7" s="3" t="s">
        <v>564</v>
      </c>
    </row>
    <row r="8" ht="42.0" customHeight="1">
      <c r="A8" s="3" t="s">
        <v>567</v>
      </c>
      <c r="B8" s="3" t="s">
        <v>569</v>
      </c>
      <c r="C8" s="3" t="s">
        <v>570</v>
      </c>
      <c r="D8" s="3" t="s">
        <v>112</v>
      </c>
      <c r="E8" s="3" t="s">
        <v>572</v>
      </c>
      <c r="F8" s="3" t="s">
        <v>564</v>
      </c>
    </row>
    <row r="9" ht="42.0" customHeight="1">
      <c r="A9" s="3" t="s">
        <v>576</v>
      </c>
      <c r="B9" s="3" t="s">
        <v>578</v>
      </c>
      <c r="C9" s="3" t="s">
        <v>579</v>
      </c>
      <c r="D9" s="3" t="s">
        <v>580</v>
      </c>
      <c r="E9" s="3" t="s">
        <v>582</v>
      </c>
      <c r="F9" s="3" t="s">
        <v>585</v>
      </c>
    </row>
    <row r="10" ht="42.0" customHeight="1">
      <c r="A10" s="3" t="s">
        <v>112</v>
      </c>
      <c r="B10" s="3" t="s">
        <v>588</v>
      </c>
      <c r="C10" s="3" t="s">
        <v>590</v>
      </c>
      <c r="D10" s="3" t="s">
        <v>591</v>
      </c>
      <c r="E10" s="3" t="s">
        <v>593</v>
      </c>
      <c r="F10" s="3" t="s">
        <v>595</v>
      </c>
    </row>
    <row r="11" ht="42.0" customHeight="1">
      <c r="A11" s="3" t="s">
        <v>597</v>
      </c>
      <c r="B11" s="3" t="s">
        <v>600</v>
      </c>
      <c r="C11" s="3" t="s">
        <v>602</v>
      </c>
      <c r="D11" s="3" t="s">
        <v>604</v>
      </c>
      <c r="E11" s="3" t="s">
        <v>606</v>
      </c>
      <c r="F11" s="3" t="s">
        <v>564</v>
      </c>
    </row>
    <row r="12" ht="42.0" customHeight="1">
      <c r="A12" s="3" t="s">
        <v>350</v>
      </c>
      <c r="B12" s="3" t="s">
        <v>611</v>
      </c>
      <c r="C12" s="3" t="s">
        <v>613</v>
      </c>
      <c r="D12" s="3" t="s">
        <v>604</v>
      </c>
      <c r="E12" s="3" t="s">
        <v>616</v>
      </c>
      <c r="F12" s="3" t="s">
        <v>564</v>
      </c>
    </row>
    <row r="13" ht="42.0" customHeight="1">
      <c r="A13" s="3" t="s">
        <v>173</v>
      </c>
      <c r="B13" s="3" t="s">
        <v>622</v>
      </c>
      <c r="C13" s="3" t="s">
        <v>624</v>
      </c>
      <c r="D13" s="3" t="s">
        <v>172</v>
      </c>
      <c r="E13" s="3" t="s">
        <v>626</v>
      </c>
      <c r="F13" s="3" t="s">
        <v>595</v>
      </c>
    </row>
    <row r="14" ht="42.0" customHeight="1">
      <c r="A14" s="3" t="s">
        <v>145</v>
      </c>
      <c r="B14" s="3" t="s">
        <v>632</v>
      </c>
      <c r="C14" s="3" t="s">
        <v>634</v>
      </c>
      <c r="D14" s="3" t="s">
        <v>112</v>
      </c>
      <c r="E14" s="3" t="s">
        <v>637</v>
      </c>
      <c r="F14" s="3" t="s">
        <v>553</v>
      </c>
    </row>
    <row r="15" ht="12.0" customHeight="1">
      <c r="A15" s="3"/>
      <c r="B15" s="3"/>
      <c r="C15" s="3"/>
      <c r="D15" s="3"/>
      <c r="E15" s="3"/>
      <c r="F15" s="3"/>
    </row>
    <row r="16" ht="12.0" customHeight="1">
      <c r="A16" s="3"/>
      <c r="B16" s="3"/>
      <c r="C16" s="3"/>
      <c r="D16" s="3"/>
      <c r="E16" s="3"/>
      <c r="F16" s="3"/>
    </row>
    <row r="17" ht="21.75" customHeight="1">
      <c r="A17" s="23" t="s">
        <v>642</v>
      </c>
      <c r="B17" s="3"/>
      <c r="C17" s="3"/>
      <c r="D17" s="3"/>
      <c r="E17" s="3"/>
      <c r="F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0"/>
    <col customWidth="1" min="2" max="2" width="40.0"/>
    <col customWidth="1" min="3" max="3" width="70.0"/>
    <col customWidth="1" min="4" max="4" width="25.0"/>
    <col customWidth="1" min="5" max="5" width="74.0"/>
    <col customWidth="1" min="6" max="26" width="8.63"/>
  </cols>
  <sheetData>
    <row r="1" ht="12.0" customHeight="1">
      <c r="A1" s="3"/>
      <c r="B1" s="3"/>
      <c r="C1" s="3"/>
      <c r="D1" s="3"/>
      <c r="E1" s="3"/>
    </row>
    <row r="2" ht="24.75" customHeight="1">
      <c r="A2" s="14" t="s">
        <v>532</v>
      </c>
      <c r="B2" s="3"/>
      <c r="C2" s="3"/>
      <c r="D2" s="3"/>
      <c r="E2" s="3"/>
    </row>
    <row r="3" ht="24.75" customHeight="1">
      <c r="A3" s="17" t="s">
        <v>535</v>
      </c>
      <c r="B3" s="3"/>
      <c r="C3" s="3"/>
      <c r="D3" s="3"/>
      <c r="E3" s="3"/>
    </row>
    <row r="4" ht="12.0" customHeight="1">
      <c r="A4" s="3"/>
      <c r="B4" s="3"/>
      <c r="C4" s="3"/>
      <c r="D4" s="3"/>
      <c r="E4" s="3"/>
    </row>
    <row r="5" ht="30.0" customHeight="1">
      <c r="A5" s="2" t="s">
        <v>543</v>
      </c>
      <c r="B5" s="2" t="s">
        <v>544</v>
      </c>
      <c r="C5" s="2" t="s">
        <v>545</v>
      </c>
      <c r="D5" s="2" t="s">
        <v>547</v>
      </c>
      <c r="E5" s="2" t="s">
        <v>550</v>
      </c>
    </row>
    <row r="6" ht="60.0" customHeight="1">
      <c r="A6" s="3" t="s">
        <v>552</v>
      </c>
      <c r="B6" s="3" t="s">
        <v>554</v>
      </c>
      <c r="C6" s="3" t="s">
        <v>556</v>
      </c>
      <c r="D6" s="3" t="s">
        <v>559</v>
      </c>
      <c r="E6" s="3" t="s">
        <v>561</v>
      </c>
    </row>
    <row r="7" ht="60.0" customHeight="1">
      <c r="A7" s="3" t="s">
        <v>563</v>
      </c>
      <c r="B7" s="3" t="s">
        <v>566</v>
      </c>
      <c r="C7" s="3" t="s">
        <v>568</v>
      </c>
      <c r="D7" s="3" t="s">
        <v>559</v>
      </c>
      <c r="E7" s="3" t="s">
        <v>571</v>
      </c>
    </row>
    <row r="8" ht="60.0" customHeight="1">
      <c r="A8" s="3" t="s">
        <v>574</v>
      </c>
      <c r="B8" s="3" t="s">
        <v>575</v>
      </c>
      <c r="C8" s="3" t="s">
        <v>577</v>
      </c>
      <c r="D8" s="3" t="s">
        <v>559</v>
      </c>
      <c r="E8" s="3" t="s">
        <v>581</v>
      </c>
    </row>
    <row r="9" ht="60.0" customHeight="1">
      <c r="A9" s="3" t="s">
        <v>584</v>
      </c>
      <c r="B9" s="3" t="s">
        <v>586</v>
      </c>
      <c r="C9" s="3" t="s">
        <v>587</v>
      </c>
      <c r="D9" s="3" t="s">
        <v>559</v>
      </c>
      <c r="E9" s="3" t="s">
        <v>592</v>
      </c>
    </row>
    <row r="10" ht="60.0" customHeight="1">
      <c r="A10" s="3" t="s">
        <v>594</v>
      </c>
      <c r="B10" s="3" t="s">
        <v>596</v>
      </c>
      <c r="C10" s="3" t="s">
        <v>598</v>
      </c>
      <c r="D10" s="3" t="s">
        <v>601</v>
      </c>
      <c r="E10" s="3" t="s">
        <v>603</v>
      </c>
    </row>
    <row r="11" ht="60.0" customHeight="1">
      <c r="A11" s="3" t="s">
        <v>605</v>
      </c>
      <c r="B11" s="3" t="s">
        <v>607</v>
      </c>
      <c r="C11" s="3" t="s">
        <v>609</v>
      </c>
      <c r="D11" s="3" t="s">
        <v>610</v>
      </c>
      <c r="E11" s="3" t="s">
        <v>612</v>
      </c>
    </row>
    <row r="12" ht="60.0" customHeight="1">
      <c r="A12" s="3" t="s">
        <v>615</v>
      </c>
      <c r="B12" s="3" t="s">
        <v>617</v>
      </c>
      <c r="C12" s="3" t="s">
        <v>618</v>
      </c>
      <c r="D12" s="3" t="s">
        <v>619</v>
      </c>
      <c r="E12" s="3" t="s">
        <v>620</v>
      </c>
    </row>
    <row r="13" ht="60.0" customHeight="1">
      <c r="A13" s="3" t="s">
        <v>623</v>
      </c>
      <c r="B13" s="3" t="s">
        <v>625</v>
      </c>
      <c r="C13" s="3" t="s">
        <v>627</v>
      </c>
      <c r="D13" s="3" t="s">
        <v>628</v>
      </c>
      <c r="E13" s="3" t="s">
        <v>630</v>
      </c>
    </row>
    <row r="14" ht="60.0" customHeight="1">
      <c r="A14" s="3" t="s">
        <v>631</v>
      </c>
      <c r="B14" s="3" t="s">
        <v>633</v>
      </c>
      <c r="C14" s="3" t="s">
        <v>635</v>
      </c>
      <c r="D14" s="3" t="s">
        <v>559</v>
      </c>
      <c r="E14" s="3" t="s">
        <v>638</v>
      </c>
    </row>
    <row r="15" ht="42.0" customHeight="1">
      <c r="A15" s="3"/>
      <c r="B15" s="3"/>
      <c r="C15" s="3"/>
      <c r="D15" s="3"/>
      <c r="E15" s="3"/>
    </row>
    <row r="16" ht="42.0" customHeight="1">
      <c r="A16" s="3"/>
      <c r="B16" s="3"/>
      <c r="C16" s="3"/>
      <c r="D16" s="3"/>
      <c r="E16" s="3"/>
    </row>
    <row r="17" ht="24.75" customHeight="1">
      <c r="A17" s="32" t="s">
        <v>640</v>
      </c>
      <c r="B17" s="3"/>
      <c r="C17" s="3"/>
      <c r="D17" s="3"/>
      <c r="E17" s="3"/>
    </row>
    <row r="18" ht="42.0" customHeight="1">
      <c r="A18" s="3"/>
      <c r="B18" s="3"/>
      <c r="C18" s="3"/>
      <c r="D18" s="3"/>
      <c r="E18" s="3"/>
    </row>
    <row r="19" ht="24.75" customHeight="1">
      <c r="A19" s="32" t="s">
        <v>644</v>
      </c>
      <c r="B19" s="3"/>
      <c r="C19" s="3"/>
      <c r="D19" s="3"/>
      <c r="E19" s="3"/>
    </row>
    <row r="20" ht="42.0" customHeight="1">
      <c r="A20" s="3"/>
      <c r="B20" s="3"/>
      <c r="C20" s="3"/>
      <c r="D20" s="3"/>
      <c r="E20" s="3"/>
    </row>
    <row r="21" ht="42.0" customHeight="1">
      <c r="A21" s="3"/>
      <c r="B21" s="3"/>
      <c r="C21" s="3"/>
      <c r="D21" s="3"/>
      <c r="E21" s="3"/>
    </row>
    <row r="22" ht="42.0" customHeight="1">
      <c r="A22" s="3"/>
      <c r="B22" s="3"/>
      <c r="C22" s="3"/>
      <c r="D22" s="3"/>
      <c r="E22" s="3"/>
    </row>
    <row r="23" ht="42.0" customHeight="1">
      <c r="A23" s="3"/>
      <c r="B23" s="3"/>
      <c r="C23" s="3"/>
      <c r="D23" s="3"/>
      <c r="E23" s="3"/>
    </row>
    <row r="24" ht="42.0" customHeight="1">
      <c r="A24" s="3"/>
      <c r="B24" s="3"/>
      <c r="C24" s="3"/>
      <c r="D24" s="3"/>
      <c r="E24" s="3"/>
    </row>
    <row r="25" ht="42.0" customHeight="1">
      <c r="A25" s="3"/>
      <c r="B25" s="3"/>
      <c r="C25" s="3"/>
      <c r="D25" s="3"/>
      <c r="E25" s="3"/>
    </row>
    <row r="26" ht="42.0" customHeight="1">
      <c r="A26" s="3"/>
      <c r="B26" s="3"/>
      <c r="C26" s="3"/>
      <c r="D26" s="3"/>
      <c r="E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8.0"/>
    <col customWidth="1" min="2" max="2" width="29.0"/>
    <col customWidth="1" min="3" max="3" width="42.0"/>
    <col customWidth="1" min="4" max="4" width="70.0"/>
    <col customWidth="1" min="5" max="5" width="49.0"/>
    <col customWidth="1" min="6" max="6" width="69.0"/>
    <col customWidth="1" min="7" max="7" width="20.0"/>
    <col customWidth="1" min="8" max="26" width="8.63"/>
  </cols>
  <sheetData>
    <row r="1" ht="12.0" customHeight="1">
      <c r="A1" s="3"/>
      <c r="B1" s="3"/>
      <c r="C1" s="3"/>
      <c r="D1" s="3"/>
      <c r="E1" s="3"/>
      <c r="F1" s="3"/>
    </row>
    <row r="2" ht="24.75" customHeight="1">
      <c r="A2" s="14" t="s">
        <v>672</v>
      </c>
      <c r="B2" s="3"/>
      <c r="C2" s="3"/>
      <c r="D2" s="3"/>
      <c r="E2" s="3"/>
      <c r="F2" s="3"/>
    </row>
    <row r="3" ht="21.75" customHeight="1">
      <c r="A3" s="17" t="s">
        <v>674</v>
      </c>
      <c r="B3" s="3"/>
      <c r="C3" s="3"/>
      <c r="D3" s="3"/>
      <c r="E3" s="3"/>
      <c r="F3" s="3"/>
    </row>
    <row r="4" ht="12.0" customHeight="1">
      <c r="A4" s="3"/>
      <c r="B4" s="3"/>
      <c r="C4" s="3"/>
      <c r="D4" s="3"/>
      <c r="E4" s="3"/>
      <c r="F4" s="3"/>
    </row>
    <row r="5" ht="31.5" customHeight="1">
      <c r="A5" s="2" t="s">
        <v>468</v>
      </c>
      <c r="B5" s="2" t="s">
        <v>678</v>
      </c>
      <c r="C5" s="2" t="s">
        <v>679</v>
      </c>
      <c r="D5" s="2" t="s">
        <v>680</v>
      </c>
      <c r="E5" s="2" t="s">
        <v>681</v>
      </c>
      <c r="F5" s="2" t="s">
        <v>682</v>
      </c>
    </row>
    <row r="6" ht="42.0" customHeight="1">
      <c r="A6" s="3" t="s">
        <v>684</v>
      </c>
      <c r="B6" s="3" t="s">
        <v>685</v>
      </c>
      <c r="C6" s="3" t="s">
        <v>686</v>
      </c>
      <c r="D6" s="3" t="s">
        <v>687</v>
      </c>
      <c r="E6" s="3" t="s">
        <v>688</v>
      </c>
      <c r="F6" s="3" t="s">
        <v>690</v>
      </c>
    </row>
    <row r="7" ht="42.0" customHeight="1">
      <c r="A7" s="3" t="s">
        <v>691</v>
      </c>
      <c r="B7" s="3" t="s">
        <v>692</v>
      </c>
      <c r="C7" s="3" t="s">
        <v>693</v>
      </c>
      <c r="D7" s="3" t="s">
        <v>694</v>
      </c>
      <c r="E7" s="3" t="s">
        <v>696</v>
      </c>
      <c r="F7" s="3" t="s">
        <v>697</v>
      </c>
    </row>
    <row r="8" ht="42.0" customHeight="1">
      <c r="A8" s="3" t="s">
        <v>698</v>
      </c>
      <c r="B8" s="3" t="s">
        <v>699</v>
      </c>
      <c r="C8" s="3" t="s">
        <v>700</v>
      </c>
      <c r="D8" s="3" t="s">
        <v>701</v>
      </c>
      <c r="E8" s="3" t="s">
        <v>703</v>
      </c>
      <c r="F8" s="3" t="s">
        <v>704</v>
      </c>
    </row>
    <row r="9" ht="42.0" customHeight="1">
      <c r="A9" s="3" t="s">
        <v>705</v>
      </c>
      <c r="B9" s="3" t="s">
        <v>706</v>
      </c>
      <c r="C9" s="3" t="s">
        <v>707</v>
      </c>
      <c r="D9" s="3" t="s">
        <v>708</v>
      </c>
      <c r="E9" s="3" t="s">
        <v>710</v>
      </c>
      <c r="F9" s="3" t="s">
        <v>711</v>
      </c>
    </row>
    <row r="10" ht="42.0" customHeight="1">
      <c r="A10" s="3" t="s">
        <v>712</v>
      </c>
      <c r="B10" s="3" t="s">
        <v>713</v>
      </c>
      <c r="C10" s="3" t="s">
        <v>714</v>
      </c>
      <c r="D10" s="3" t="s">
        <v>716</v>
      </c>
      <c r="E10" s="3" t="s">
        <v>717</v>
      </c>
      <c r="F10" s="3" t="s">
        <v>718</v>
      </c>
    </row>
    <row r="11" ht="42.0" customHeight="1">
      <c r="A11" s="3" t="s">
        <v>719</v>
      </c>
      <c r="B11" s="3" t="s">
        <v>720</v>
      </c>
      <c r="C11" s="3" t="s">
        <v>722</v>
      </c>
      <c r="D11" s="3" t="s">
        <v>723</v>
      </c>
      <c r="E11" s="3" t="s">
        <v>724</v>
      </c>
      <c r="F11" s="3" t="s">
        <v>725</v>
      </c>
    </row>
    <row r="12" ht="42.0" customHeight="1">
      <c r="A12" s="3" t="s">
        <v>726</v>
      </c>
      <c r="B12" s="3" t="s">
        <v>727</v>
      </c>
      <c r="C12" s="3" t="s">
        <v>728</v>
      </c>
      <c r="D12" s="3" t="s">
        <v>730</v>
      </c>
      <c r="E12" s="3" t="s">
        <v>731</v>
      </c>
      <c r="F12" s="3" t="s">
        <v>732</v>
      </c>
    </row>
    <row r="13" ht="42.0" customHeight="1">
      <c r="A13" s="3" t="s">
        <v>733</v>
      </c>
      <c r="B13" s="3" t="s">
        <v>734</v>
      </c>
      <c r="C13" s="3" t="s">
        <v>736</v>
      </c>
      <c r="D13" s="3" t="s">
        <v>737</v>
      </c>
      <c r="E13" s="3" t="s">
        <v>738</v>
      </c>
      <c r="F13" s="3" t="s">
        <v>739</v>
      </c>
    </row>
    <row r="14" ht="12.0" customHeight="1">
      <c r="A14" s="3"/>
      <c r="B14" s="3"/>
      <c r="C14" s="3"/>
      <c r="D14" s="3"/>
      <c r="E14" s="3"/>
      <c r="F14" s="3"/>
    </row>
    <row r="15" ht="12.0" customHeight="1">
      <c r="A15" s="3"/>
      <c r="B15" s="3"/>
      <c r="C15" s="3"/>
      <c r="D15" s="3"/>
      <c r="E15" s="3"/>
      <c r="F15" s="3"/>
    </row>
    <row r="16" ht="21.75" customHeight="1">
      <c r="A16" s="23" t="s">
        <v>742</v>
      </c>
      <c r="B16" s="3"/>
      <c r="C16" s="3"/>
      <c r="D16" s="3"/>
      <c r="E16" s="3"/>
      <c r="F16" s="3"/>
    </row>
    <row r="18">
      <c r="A18" s="16"/>
    </row>
    <row r="20" ht="31.5" customHeight="1">
      <c r="A20" s="2"/>
      <c r="B20" s="2"/>
      <c r="C20" s="2"/>
      <c r="D20" s="2"/>
      <c r="E20" s="2"/>
      <c r="F20" s="2"/>
      <c r="G20" s="2"/>
    </row>
    <row r="21" ht="79.5" customHeight="1">
      <c r="A21" s="3"/>
      <c r="B21" s="3"/>
      <c r="C21" s="3"/>
      <c r="D21" s="3"/>
      <c r="E21" s="3"/>
      <c r="F21" s="3"/>
      <c r="G21" s="3"/>
    </row>
    <row r="22" ht="79.5" customHeight="1">
      <c r="A22" s="3"/>
      <c r="B22" s="3"/>
      <c r="C22" s="3"/>
      <c r="D22" s="3"/>
      <c r="E22" s="3"/>
      <c r="F22" s="3"/>
      <c r="G22" s="3"/>
    </row>
    <row r="23" ht="79.5" customHeight="1">
      <c r="A23" s="3"/>
      <c r="B23" s="3"/>
      <c r="C23" s="3"/>
      <c r="D23" s="3"/>
      <c r="E23" s="3"/>
      <c r="F23" s="3"/>
      <c r="G23" s="3"/>
    </row>
    <row r="24" ht="79.5" customHeight="1">
      <c r="A24" s="3"/>
      <c r="B24" s="3"/>
      <c r="C24" s="3"/>
      <c r="D24" s="3"/>
      <c r="E24" s="3"/>
      <c r="F24" s="3"/>
      <c r="G24" s="3"/>
    </row>
    <row r="25" ht="79.5" customHeight="1">
      <c r="A25" s="3"/>
      <c r="B25" s="3"/>
      <c r="C25" s="3"/>
      <c r="D25" s="3"/>
      <c r="E25" s="3"/>
      <c r="F25" s="3"/>
      <c r="G25" s="3"/>
    </row>
    <row r="26" ht="79.5" customHeight="1">
      <c r="A26" s="3"/>
      <c r="B26" s="3"/>
      <c r="C26" s="3"/>
      <c r="D26" s="3"/>
      <c r="E26" s="3"/>
      <c r="F26" s="3"/>
      <c r="G26" s="3"/>
    </row>
    <row r="27" ht="79.5" customHeight="1">
      <c r="A27" s="3"/>
      <c r="B27" s="3"/>
      <c r="C27" s="3"/>
      <c r="D27" s="3"/>
      <c r="E27" s="3"/>
      <c r="F27" s="3"/>
      <c r="G27" s="3"/>
    </row>
    <row r="28" ht="79.5" customHeight="1">
      <c r="A28" s="3"/>
      <c r="B28" s="3"/>
      <c r="C28" s="3"/>
      <c r="D28" s="3"/>
      <c r="E28" s="3"/>
      <c r="F28" s="3"/>
      <c r="G2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1:G28">
    <cfRule type="containsText" dxfId="0" priority="1" operator="containsText" text="待">
      <formula>NOT(ISERROR(SEARCH(("待"),(G21))))</formula>
    </cfRule>
  </conditionalFormatting>
  <dataValidations>
    <dataValidation type="list" allowBlank="1" sqref="G21:G28">
      <formula1>"待回覆,已確認,不適用"</formula1>
    </dataValidation>
  </dataValidations>
  <printOptions/>
  <pageMargins bottom="0.75" footer="0.0" header="0.0" left="0.7" right="0.7" top="0.75"/>
  <pageSetup orientation="landscape"/>
  <drawing r:id="rId1"/>
</worksheet>
</file>